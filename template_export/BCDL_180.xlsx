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38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0" i="1"/>
  <c r="J15" i="1"/>
  <c r="J16" i="1"/>
  <c r="J17" i="1"/>
  <c r="J18" i="1"/>
  <c r="J14" i="1"/>
  <c r="I18" i="1" l="1"/>
  <c r="I17" i="1"/>
  <c r="I16" i="1"/>
  <c r="I15" i="1"/>
  <c r="H16" i="1"/>
  <c r="I39" i="1"/>
  <c r="I41" i="1"/>
  <c r="H41" i="1"/>
  <c r="G39" i="1"/>
  <c r="F39" i="1"/>
  <c r="F41" i="1"/>
  <c r="E39" i="1"/>
  <c r="G18" i="1" l="1"/>
  <c r="H18" i="1" s="1"/>
  <c r="F18" i="1"/>
  <c r="F17" i="1"/>
  <c r="F16" i="1"/>
  <c r="F15" i="1"/>
  <c r="H15" i="1" s="1"/>
  <c r="I14" i="1" l="1"/>
  <c r="E15" i="1"/>
  <c r="E14" i="1" s="1"/>
  <c r="H44" i="1" l="1"/>
  <c r="I48" i="1" l="1"/>
  <c r="G48" i="1"/>
  <c r="F48" i="1"/>
  <c r="E48" i="1"/>
  <c r="E41" i="1"/>
  <c r="G41" i="1"/>
  <c r="G32" i="1"/>
  <c r="F32" i="1"/>
  <c r="E32" i="1"/>
  <c r="I28" i="1"/>
  <c r="G28" i="1"/>
  <c r="F28" i="1"/>
  <c r="E28" i="1"/>
  <c r="I21" i="1"/>
  <c r="I20" i="1"/>
  <c r="G21" i="1"/>
  <c r="F21" i="1"/>
  <c r="E21" i="1"/>
  <c r="G20" i="1"/>
  <c r="F20" i="1"/>
  <c r="E20" i="1"/>
  <c r="G17" i="1"/>
  <c r="G16" i="1"/>
  <c r="G15" i="1"/>
  <c r="F14" i="1"/>
  <c r="E18" i="1"/>
  <c r="E17" i="1"/>
  <c r="E16" i="1"/>
  <c r="G14" i="1" l="1"/>
  <c r="H47" i="1"/>
  <c r="K47" i="1" s="1"/>
  <c r="H46" i="1"/>
  <c r="H52" i="1"/>
  <c r="H48" i="1"/>
  <c r="K48" i="1" s="1"/>
  <c r="H39" i="1" l="1"/>
  <c r="H40" i="1"/>
  <c r="H42" i="1"/>
  <c r="H43" i="1"/>
  <c r="H45" i="1"/>
  <c r="H49" i="1"/>
  <c r="H50" i="1"/>
  <c r="H51" i="1"/>
  <c r="H38" i="1"/>
  <c r="H17" i="1"/>
  <c r="H22" i="1"/>
  <c r="H23" i="1"/>
  <c r="H24" i="1"/>
  <c r="H25" i="1"/>
  <c r="H26" i="1"/>
  <c r="H27" i="1"/>
  <c r="H29" i="1"/>
  <c r="H30" i="1"/>
  <c r="H31" i="1"/>
  <c r="H33" i="1"/>
  <c r="H34" i="1"/>
  <c r="H35" i="1"/>
  <c r="H36" i="1"/>
  <c r="K39" i="1" l="1"/>
  <c r="K40" i="1"/>
  <c r="K41" i="1"/>
  <c r="K43" i="1"/>
  <c r="K44" i="1"/>
  <c r="K45" i="1"/>
  <c r="K46" i="1"/>
  <c r="K49" i="1"/>
  <c r="K50" i="1"/>
  <c r="K51" i="1"/>
  <c r="K52" i="1"/>
  <c r="K38" i="1"/>
  <c r="K23" i="1"/>
  <c r="K25" i="1"/>
  <c r="K26" i="1"/>
  <c r="K27" i="1"/>
  <c r="K29" i="1"/>
  <c r="K30" i="1"/>
  <c r="K31" i="1"/>
  <c r="K33" i="1"/>
  <c r="K34" i="1"/>
  <c r="K35" i="1"/>
  <c r="K36" i="1"/>
  <c r="K15" i="1"/>
  <c r="K16" i="1"/>
  <c r="K17" i="1"/>
  <c r="K18" i="1"/>
  <c r="I32" i="1" l="1"/>
  <c r="K42" i="1" l="1"/>
  <c r="K24" i="1"/>
  <c r="K22" i="1"/>
  <c r="H32" i="1"/>
  <c r="H20" i="1"/>
  <c r="H28" i="1" l="1"/>
  <c r="K32" i="1"/>
  <c r="H21" i="1"/>
  <c r="K20" i="1"/>
  <c r="H14" i="1"/>
  <c r="K28" i="1" l="1"/>
  <c r="K21" i="1"/>
  <c r="K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<sst xmlns="http://schemas.openxmlformats.org/spreadsheetml/2006/main" count="207" uniqueCount="167">
  <si>
    <t>Ngày nhận báo cáo:</t>
  </si>
  <si>
    <t>Ngày 05 tháng sau</t>
  </si>
  <si>
    <t>KHỐI LƯỢNG HÀNG HÓA, HÀNH KHÁCH THÔNG QUA CẢNG BIỂN</t>
  </si>
  <si>
    <t>STT</t>
  </si>
  <si>
    <t>Chỉ tiêu</t>
  </si>
  <si>
    <t>Đơn vị tính</t>
  </si>
  <si>
    <t>Kế hoạch năm</t>
  </si>
  <si>
    <t>Từ đầu năm đến hết tháng trước</t>
  </si>
  <si>
    <t>Thực hiện tháng báo cáo</t>
  </si>
  <si>
    <t>Lũy kế từ đầu năm đến hết tháng báo cáo</t>
  </si>
  <si>
    <t>Lũy kế cùng kỳ năm trước</t>
  </si>
  <si>
    <t>A</t>
  </si>
  <si>
    <t>B</t>
  </si>
  <si>
    <t>C</t>
  </si>
  <si>
    <t>4=2+3</t>
  </si>
  <si>
    <t>6=4/5</t>
  </si>
  <si>
    <t>7=4/1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</si>
  <si>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</si>
  <si>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</si>
  <si>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</si>
  <si>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</si>
  <si>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</si>
  <si>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</si>
  <si>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</si>
  <si>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</si>
  <si>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</si>
  <si>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</si>
  <si>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</si>
  <si>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</si>
  <si>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</si>
  <si>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</si>
  <si>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</si>
  <si>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</si>
  <si>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</si>
  <si>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</si>
  <si>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</si>
  <si>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</si>
  <si>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</si>
  <si>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</si>
  <si>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</si>
  <si>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III</t>
  </si>
  <si>
    <t>Chia theo tuyến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</si>
  <si>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</si>
  <si>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</si>
  <si>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</si>
  <si>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</si>
  <si>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</si>
  <si>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</si>
  <si>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</si>
  <si>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</si>
  <si>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</si>
  <si>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Người lập báo cáo
(Ký, ghi rõ họ tên)</t>
  </si>
  <si>
    <t>${fkDonViBcText}</t>
  </si>
  <si>
    <t>Tháng ${bcMaText}</t>
  </si>
  <si>
    <t>Cục Hàng hải và Đường thủy Việt Nam</t>
  </si>
  <si>
    <t xml:space="preserve"> (Phòng Vận tải - An toàn và phương tiện)</t>
  </si>
  <si>
    <t>Hàng vận chuyển bằng PTTNĐ đăng ký PTTNĐ VR-SB</t>
  </si>
  <si>
    <t>${zobjComReport.hangLongXuatKhauKeHoachNam.asText()}</t>
  </si>
  <si>
    <t>${zobjComReport.hangLongXuatKhauThucHienThangBaoCao.asText()}</t>
  </si>
  <si>
    <t>${zobjComReport.hangLongNhapKhauKeHoachNam.asText()}</t>
  </si>
  <si>
    <t>${zobjComReport.hangLongNhapKhauThucHienThangBaoCao.asText()}</t>
  </si>
  <si>
    <t>${zobjComReport.hangLongNoiDiaKeHoachNam.asText()}</t>
  </si>
  <si>
    <t>${zobjComReport.hangLongNoiDiaThucHienThangBaoCao.asText()}</t>
  </si>
  <si>
    <t>${zobjComReport.hangKhoTongHopXuatKhauKeHoachNam.asText()}</t>
  </si>
  <si>
    <t>${zobjComReport.hangKhoTongHopXuatKhauThucHienThangBaoCao.asText()}</t>
  </si>
  <si>
    <t>${zobjComReport.hangKhoTongHopNhapKhauKeHoachNam.asText()}</t>
  </si>
  <si>
    <t>${zobjComReport.hangKhoTongHopNhapKhauThucHienThangBaoCao.asText()}</t>
  </si>
  <si>
    <t>${zobjComReport.hangKhoTongHopNoiDiaKeHoachNam.asText()}</t>
  </si>
  <si>
    <t>${zobjComReport.hangKhoTongHopNoiDiaThucHienThangBaoCao.asText()}</t>
  </si>
  <si>
    <t>${zobjComReport.hangQuaCanhXepDoKeHoachNam.asText()}</t>
  </si>
  <si>
    <t>${zobjComReport.hangQuaCanhXepDoThucHienThangBaoCao.asText()}</t>
  </si>
  <si>
    <t>${zobjComReport. hangHoaThongQuaBangTauBienKeHoachNam.asText()}</t>
  </si>
  <si>
    <t>${zobjComReport. hangHoaThongQuaBangTauBienThucHienThangBaoCao.asText()}</t>
  </si>
  <si>
    <t>${zobjComReport.hangVanChuyenBangPttndTruPttndVrSbKeHoachNam.asText()}</t>
  </si>
  <si>
    <t>${zobjComReport.hangVanChuyenBangPttndTruPttndVrSbThucHienThangBaoCao.asText()}</t>
  </si>
  <si>
    <t>${zobjComReport.hangVanChuyenBangPttndDangKyVrSbTuCbCbKeHoachNam.asText()}</t>
  </si>
  <si>
    <t>${zobjComReport.hangVanChuyenBangPttndDangKyVrSbTuCbCbThucHienThangBaoCao.asText()}</t>
  </si>
  <si>
    <t>${zobjComReport.hangVanChuyenBangPttndDangKyVrSbTuCbCtndVaNguocLaiKeHoachNam.asText()}</t>
  </si>
  <si>
    <t>${zobjComReport.hangVanChuyenBangPttndDangKyVrSbTuCbCtndVaNguocLaiThucHienThangBaoCao.asText()}</t>
  </si>
  <si>
    <t>${zobjComReport.hangQuaCanhKhongXepDoKeHoachNam.asText()}</t>
  </si>
  <si>
    <t>${zobjComReport.hangQuaCanhKhongXepDoThucHienThangBaoCao.asText()}</t>
  </si>
  <si>
    <t>${zobjComReport.hangHoaTuyenTuBoRaDaoKeHoachNam.asText()}</t>
  </si>
  <si>
    <t>${zobjComReport.hangHoaTuyenTuBoRaDaoThucHienThangBaoCao.asText()}</t>
  </si>
  <si>
    <t>${zobjComReport.hanhKhachThongQuaBangDoiTauBienVnKeHoachNam.asText()}</t>
  </si>
  <si>
    <t>${zobjComReport.hanhKhachThongQuaBangDoiTauBienVnThucHienThangBaoCao.asText()}</t>
  </si>
  <si>
    <t>${zobjComReport.hanhKhachThongQuaBangDoiTauBienNuocNgoaiKeHoachNam.asText()}</t>
  </si>
  <si>
    <t>${zobjComReport.hanhKhachThongQuaBangDoiTauBienNuocNgoaiThucHienThangBaoCao.asText()}</t>
  </si>
  <si>
    <t>${zobjComReport.hanhKhachThongQuaBangPttndKeHoachNam.asText()}</t>
  </si>
  <si>
    <t>${zobjComReport.hanhKhachThongQuaBangPttndThucHienThangBaoCao.asText()}</t>
  </si>
  <si>
    <t>${zobjComReport.hanhKhachTuyenTuBoRaDaoKeHoachNam.asText()}</t>
  </si>
  <si>
    <t>${zobjComReport.hanhKhachTuyenTuBoRaDaoThucHienThangBaoCao.asText()}</t>
  </si>
  <si>
    <t>${zobjComReport.containerNoiDiaTanKeHoachNam.asText()}</t>
  </si>
  <si>
    <t>${zobjComReport.containerNoiDiaTanThucHienThangBaoCao.asText()}</t>
  </si>
  <si>
    <t>${zobjComReport.containerNoiDiaTeusKeHoachNam.asText()}</t>
  </si>
  <si>
    <t>${zobjComReport.containerNoiDiaTeusThucHienThangBaoCao.asText()}</t>
  </si>
  <si>
    <t>${zobjComReport.containerNhapKhauTanKeHoachNam.asText()}</t>
  </si>
  <si>
    <t>${zobjComReport.containerNhapKhauTanThucHienThangBaoCao.asText()}</t>
  </si>
  <si>
    <t>${zobjComReport.containerNhapKhauTeusKeHoachNam.asText()}</t>
  </si>
  <si>
    <t>${zobjComReport.containerNhapKhauTeusThucHienThangBaoCao.asText()}</t>
  </si>
  <si>
    <t>${zobjComReport.containerXuatKhauTanKeHoachNam.asText()}</t>
  </si>
  <si>
    <t>${zobjComReport.containerXuatKhauTanThucHienThangBaoCao.asText()}</t>
  </si>
  <si>
    <t>${zobjComReport.containerXuatKhauTeusKeHoachNam.asText()}</t>
  </si>
  <si>
    <t>${zobjComReport.containerXuatKhauTeusThucHienThangBaoCao.asText()}</t>
  </si>
  <si>
    <t>${zobjDataDefault.containerXuatKhauTanTuDauNamDenHetThangTruoc.asText()}</t>
  </si>
  <si>
    <t>${zobjDataDefault.containerXuatKhauTeusTuDauNamDenHetThangTruoc.asText()}</t>
  </si>
  <si>
    <t>${zobjDataDefault.containerNhapKhauTanTuDauNamDenHetThangTruoc.asText()}</t>
  </si>
  <si>
    <t>${zobjDataDefault.containerNhapKhauTeusTuDauNamDenHetThangTruoc.asText()}</t>
  </si>
  <si>
    <t>${zobjDataDefault.containerNoiDiaTanTuDauNamDenHetThangTruoc.asText()}</t>
  </si>
  <si>
    <t>${zobjDataDefault.containerNoiDiaTeusTuDauNamDenHetThangTruoc.asText()}</t>
  </si>
  <si>
    <t>${zobjDataDefault.hangLongXuatKhauTuDauNamDenHetThangTruoc.asText()}</t>
  </si>
  <si>
    <t>${zobjDataDefault.hangLongNhapKhauTuDauNamDenHetThangTruoc.asText()}</t>
  </si>
  <si>
    <t>${zobjDataDefault.hangLongNoiDiaTuDauNamDenHetThangTruoc.asText()}</t>
  </si>
  <si>
    <t>${zobjDataDefault.hangKhoTongHopXuatKhauTuDauNamDenHetThangTruoc.asText()}</t>
  </si>
  <si>
    <t>${zobjDataDefault.hangKhoTongHopNhapKhauTuDauNamDenHetThangTruoc.asText()}</t>
  </si>
  <si>
    <t>${zobjDataDefault.hangKhoTongHopNoiDiaTuDauNamDenHetThangTruoc.asText()}</t>
  </si>
  <si>
    <t>${zobjDataDefault.hangQuaCanhXepDoTuDauNamDenHetThangTruoc.asText()}</t>
  </si>
  <si>
    <t>${zobjDataDefault. hangHoaThongQuaBangTauBienTuDauNamDenHetThangTruoc.asText()}</t>
  </si>
  <si>
    <t>${zobjDataDefault.hangVanChuyenBangPttndTruPttndVrSbTuDauNamDenHetThangTruoc.asText()}</t>
  </si>
  <si>
    <t>${zobjDataDefault.hangVanChuyenBangPttndDangKyVrSbTuCbCbTuDauNamDenHetThangTruoc.asText()}</t>
  </si>
  <si>
    <t>${zobjDataDefault.hangVanChuyenBangPttndDangKyVrSbTuCbCtndVaNguocLaiTuDauNamDenHetThangTruoc.asText()}</t>
  </si>
  <si>
    <t>${zobjDataDefault.hangKhuChuyenTaiBenPhaoTuDauNamDenHetThangTruoc.asText()}</t>
  </si>
  <si>
    <t>${zobjDataDefault.hangQuaCanhKhongXepDoTuDauNamDenHetThangTruoc.asText()}</t>
  </si>
  <si>
    <t>${zobjDataDefault.hangHoaTuyenTuBoRaDaoTuDauNamDenHetThangTruoc.asText()}</t>
  </si>
  <si>
    <t>${zobjDataDefault.hanhKhachThongQuaBangDoiTauBienVnTuDauNamDenHetThangTruoc.asText()}</t>
  </si>
  <si>
    <t>${zobjDataDefault.hanhKhachThongQuaBangDoiTauBienNuocNgoaiTuDauNamDenHetThangTruoc.asText()}</t>
  </si>
  <si>
    <t>${zobjDataDefault.hanhKhachThongQuaBangPttndTuDauNamDenHetThangTruoc.asText()}</t>
  </si>
  <si>
    <t>${zobjDataDefault.hanhKhachTuyenTuBoRaDaoTuDauNamDenHetThangTruoc.asText()}</t>
  </si>
  <si>
    <t>${zobjDataDefault.containerXuatKhauTanLuyKeCungKyNamTruoc.asText()}</t>
  </si>
  <si>
    <t>${zobjDataDefault.containerXuatKhauTeusLuyKeCungKyNamTruoc.asText()}</t>
  </si>
  <si>
    <t>${zobjDataDefault.containerNhapKhauTanLuyKeCungKyNamTruoc.asText()}</t>
  </si>
  <si>
    <t>${zobjDataDefault.containerNhapKhauTeusLuyKeCungKyNamTruoc.asText()}</t>
  </si>
  <si>
    <t>${zobjDataDefault.containerNoiDiaTanLuyKeCungKyNamTruoc.asText()}</t>
  </si>
  <si>
    <t>${zobjDataDefault.containerNoiDiaTeusLuyKeCungKyNamTruoc.asText()}</t>
  </si>
  <si>
    <t>${zobjDataDefault.hangLongXuatKhauLuyKeCungKyNamTruoc.asText()}</t>
  </si>
  <si>
    <t>${zobjDataDefault.hangLongNhapKhauLuyKeCungKyNamTruoc.asText()}</t>
  </si>
  <si>
    <t>${zobjDataDefault.hangLongNoiDiaLuyKeCungKyNamTruoc.asText()}</t>
  </si>
  <si>
    <t>${zobjDataDefault.hangKhoTongHopXuatKhauLuyKeCungKyNamTruoc.asText()}</t>
  </si>
  <si>
    <t>${zobjDataDefault.hangKhoTongHopNhapKhauLuyKeCungKyNamTruoc.asText()}</t>
  </si>
  <si>
    <t>${zobjDataDefault.hangKhoTongHopNoiDiaLuyKeCungKyNamTruoc.asText()}</t>
  </si>
  <si>
    <t>${zobjDataDefault.hangQuaCanhXepDoLuyKeCungKyNamTruoc.asText()}</t>
  </si>
  <si>
    <t>${zobjDataDefault. hangHoaThongQuaBangTauBienLuyKeCungKyNamTruoc.asText()}</t>
  </si>
  <si>
    <t>${zobjDataDefault.hangVanChuyenBangPttndTruPttndVrSbLuyKeCungKyNamTruoc.asText()}</t>
  </si>
  <si>
    <t>${zobjDataDefault.hangVanChuyenBangPttndDangKyVrSbTuCbCbLuyKeCungKyNamTruoc.asText()}</t>
  </si>
  <si>
    <t>${zobjDataDefault.hangVanChuyenBangPttndDangKyVrSbTuCbCtndVaNguocLaiLuyKeCungKyNamTruoc.asText()}</t>
  </si>
  <si>
    <t>${zobjDataDefault.hangKhuChuyenTaiBenPhaoLuyKeCungKyNamTruoc.asText()}</t>
  </si>
  <si>
    <t>${zobjDataDefault.hangQuaCanhKhongXepDoLuyKeCungKyNamTruoc.asText()}</t>
  </si>
  <si>
    <t>${zobjDataDefault.hangHoaTuyenTuBoRaDaoLuyKeCungKyNamTruoc.asText()}</t>
  </si>
  <si>
    <t>${zobjDataDefault.hanhKhachThongQuaBangDoiTauBienVnLuyKeCungKyNamTruoc.asText()}</t>
  </si>
  <si>
    <t>${zobjDataDefault.hanhKhachThongQuaBangDoiTauBienNuocNgoaiLuyKeCungKyNamTruoc.asText()}</t>
  </si>
  <si>
    <t>${zobjDataDefault.hanhKhachThongQuaBangPttndLuyKeCungKyNamTruoc.asText()}</t>
  </si>
  <si>
    <t>${zobjDataDefault.hanhKhachTuyenTuBoRaDaoLuyKeCungKyNamTruoc.asText()}</t>
  </si>
  <si>
    <t>Hành khách tuyến từ bờ ra đảo</t>
  </si>
  <si>
    <t>So với cùng kỳ năm trước
(%)</t>
  </si>
  <si>
    <t>So với kế hoạch năm 
(%)</t>
  </si>
  <si>
    <t>Hàng hóa tuyến từ bờ ra đảo</t>
  </si>
  <si>
    <t>…, ngày….tháng….năm…. 
(Thủ trưởng đơn vị ký, đóng dấu)</t>
  </si>
  <si>
    <t>Khu neo đậu, chuyển tải</t>
  </si>
  <si>
    <t>Tàu thuyền có trọng tải từ 200 tấn trở xuống</t>
  </si>
  <si>
    <t>IV</t>
  </si>
  <si>
    <t>${zobjDataDefault.khuNeoDauChuyenTaiTuDauNamDenHetThangTruoc.asText()}</t>
  </si>
  <si>
    <t>${zobjDataDefault.khuNeoDauChuyenTaiLuyKeCungKyNamTruoc.asText()}</t>
  </si>
  <si>
    <t>Hành khách (3.1 + 3.2 + 3.3)</t>
  </si>
  <si>
    <t>${zobjComReport.tauThuyenTrongTaiTu200TroXuongKeHoachNam.asText()}</t>
  </si>
  <si>
    <t>${zobjComReport.tauThuyenTrongTaiTu200TroXuongThucHienThangBaoCao.asText()}</t>
  </si>
  <si>
    <t>${zobjComReport.khuNeoDauChuyenTaiTuDauNamDenHetThangTruoc.asText()}</t>
  </si>
  <si>
    <t>${zobjComReport.khuNeoDauChuyenTaiKeHoachNam.asText()}</t>
  </si>
  <si>
    <t>Biểu số 16-T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</si>
</sst>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8"/>
  <sheetViews>
    <sheetView tabSelected="1" zoomScaleNormal="100" workbookViewId="0"/>
  </sheetViews>
  <sheetFormatPr defaultRowHeight="12.75" x14ac:dyDescent="0.2"/>
  <cols>
    <col min="1" max="1" width="9.140625" style="3"/>
    <col min="2" max="2" width="8.42578125" style="3" customWidth="1"/>
    <col min="3" max="3" width="10.140625" style="3" customWidth="1"/>
    <col min="4" max="4" width="5.7109375" style="3" customWidth="1"/>
    <col min="5" max="5" width="13.140625" style="3" customWidth="1"/>
    <col min="6" max="6" width="15.28515625" style="3" customWidth="1"/>
    <col min="7" max="7" width="14.5703125" style="3" customWidth="1"/>
    <col min="8" max="8" width="15.7109375" style="3" customWidth="1"/>
    <col min="9" max="9" width="12.7109375" style="3" customWidth="1"/>
    <col min="10" max="10" width="8.7109375" style="3" customWidth="1"/>
    <col min="11" max="11" width="8.42578125" style="3" customWidth="1"/>
    <col min="12" max="16384" width="9.140625" style="3"/>
  </cols>
  <sheetData>
    <row r="1" spans="1:11" x14ac:dyDescent="0.2">
      <c r="A1" s="2" t="s">
        <v>166</v>
      </c>
      <c r="G1" s="2" t="s">
        <v>49</v>
      </c>
    </row>
    <row r="2" spans="1:11" x14ac:dyDescent="0.2">
      <c r="A2" s="3" t="s">
        <v>0</v>
      </c>
      <c r="G2" s="16" t="s">
        <v>52</v>
      </c>
      <c r="H2" s="16"/>
      <c r="I2" s="16"/>
      <c r="J2" s="16"/>
      <c r="K2" s="16"/>
    </row>
    <row r="3" spans="1:11" x14ac:dyDescent="0.2">
      <c r="A3" s="3" t="s">
        <v>1</v>
      </c>
      <c r="G3" s="2" t="s">
        <v>50</v>
      </c>
    </row>
    <row r="4" spans="1:11" x14ac:dyDescent="0.2">
      <c r="G4" s="1" t="s">
        <v>54</v>
      </c>
    </row>
    <row r="5" spans="1:11" x14ac:dyDescent="0.2">
      <c r="G5" s="3" t="s">
        <v>55</v>
      </c>
    </row>
    <row r="7" spans="1:11" ht="15.75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ht="15.75" x14ac:dyDescent="0.25">
      <c r="A8" s="32" t="s">
        <v>53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10" spans="1:11" ht="30" customHeight="1" x14ac:dyDescent="0.2">
      <c r="A10" s="30" t="s">
        <v>3</v>
      </c>
      <c r="B10" s="20" t="s">
        <v>4</v>
      </c>
      <c r="C10" s="21"/>
      <c r="D10" s="30" t="s">
        <v>5</v>
      </c>
      <c r="E10" s="30" t="s">
        <v>6</v>
      </c>
      <c r="F10" s="29" t="s">
        <v>17</v>
      </c>
      <c r="G10" s="29"/>
      <c r="H10" s="29"/>
      <c r="I10" s="29"/>
      <c r="J10" s="29"/>
      <c r="K10" s="29"/>
    </row>
    <row r="11" spans="1:11" ht="63.75" customHeight="1" x14ac:dyDescent="0.2">
      <c r="A11" s="31"/>
      <c r="B11" s="22"/>
      <c r="C11" s="23"/>
      <c r="D11" s="31"/>
      <c r="E11" s="31"/>
      <c r="F11" s="4" t="s">
        <v>7</v>
      </c>
      <c r="G11" s="4" t="s">
        <v>8</v>
      </c>
      <c r="H11" s="4" t="s">
        <v>9</v>
      </c>
      <c r="I11" s="4" t="s">
        <v>10</v>
      </c>
      <c r="J11" s="4" t="s">
        <v>152</v>
      </c>
      <c r="K11" s="4" t="s">
        <v>153</v>
      </c>
    </row>
    <row r="12" spans="1:11" x14ac:dyDescent="0.2">
      <c r="A12" s="5" t="s">
        <v>11</v>
      </c>
      <c r="B12" s="24" t="s">
        <v>12</v>
      </c>
      <c r="C12" s="25"/>
      <c r="D12" s="5" t="s">
        <v>13</v>
      </c>
      <c r="E12" s="5">
        <v>1</v>
      </c>
      <c r="F12" s="5">
        <v>2</v>
      </c>
      <c r="G12" s="5">
        <v>3</v>
      </c>
      <c r="H12" s="5" t="s">
        <v>14</v>
      </c>
      <c r="I12" s="5">
        <v>5</v>
      </c>
      <c r="J12" s="5" t="s">
        <v>15</v>
      </c>
      <c r="K12" s="5" t="s">
        <v>16</v>
      </c>
    </row>
    <row r="13" spans="1:11" ht="15" customHeight="1" x14ac:dyDescent="0.2">
      <c r="A13" s="6" t="s">
        <v>18</v>
      </c>
      <c r="B13" s="26" t="s">
        <v>19</v>
      </c>
      <c r="C13" s="27"/>
      <c r="D13" s="27"/>
      <c r="E13" s="27"/>
      <c r="F13" s="27"/>
      <c r="G13" s="27"/>
      <c r="H13" s="27"/>
      <c r="I13" s="27"/>
      <c r="J13" s="27"/>
      <c r="K13" s="28"/>
    </row>
    <row r="14" spans="1:11" ht="15.75" customHeight="1" x14ac:dyDescent="0.2">
      <c r="A14" s="5"/>
      <c r="B14" s="17" t="s">
        <v>20</v>
      </c>
      <c r="C14" s="18"/>
      <c r="D14" s="7" t="s">
        <v>27</v>
      </c>
      <c r="E14" s="13">
        <f>IFERROR(SUMPRODUCT(VALUE(E15:E18)),0)</f>
        <v>0</v>
      </c>
      <c r="F14" s="13">
        <f>IFERROR(SUMPRODUCT(VALUE(F15:F18)),0)</f>
        <v>0</v>
      </c>
      <c r="G14" s="13">
        <f>IFERROR(SUMPRODUCT(VALUE(G15:G18)),0)</f>
        <v>0</v>
      </c>
      <c r="H14" s="13">
        <f>ROUND(IFERROR(VALUE(F14) + VALUE(G14),0),2)</f>
        <v>0</v>
      </c>
      <c r="I14" s="13">
        <f>IFERROR(SUMPRODUCT(VALUE(I15:I18)),0)</f>
        <v>0</v>
      </c>
      <c r="J14" s="13" t="str">
        <f>CONCATENATE(ROUND(IFERROR(VALUE(H14) / VALUE(I14), 0) * 100, 2), "%")</f>
        <v>0%</v>
      </c>
      <c r="K14" s="13">
        <f>ROUND(IFERROR(VALUE(H14) / VALUE(E14), 0) * 100, 2)</f>
        <v>0</v>
      </c>
    </row>
    <row r="15" spans="1:11" ht="16.5" customHeight="1" x14ac:dyDescent="0.2">
      <c r="A15" s="5"/>
      <c r="B15" s="17" t="s">
        <v>22</v>
      </c>
      <c r="C15" s="18"/>
      <c r="D15" s="7" t="s">
        <v>27</v>
      </c>
      <c r="E15" s="13">
        <f>IFERROR(VALUE(E22)+VALUE(E29)+VALUE(E33),0)</f>
        <v>0</v>
      </c>
      <c r="F15" s="13">
        <f>IFERROR(VALUE(F22)+VALUE(F29)+VALUE(F33),0)</f>
        <v>0</v>
      </c>
      <c r="G15" s="13">
        <f>IFERROR(VALUE(G22) + VALUE(G29) + VALUE(G33),0)</f>
        <v>0</v>
      </c>
      <c r="H15" s="13">
        <f>ROUND(IFERROR(VALUE(F15) + VALUE(G15),0),2)</f>
        <v>0</v>
      </c>
      <c r="I15" s="13">
        <f>IFERROR(VALUE(I22) + VALUE(I29) + VALUE(I33),0)</f>
        <v>0</v>
      </c>
      <c r="J15" s="13" t="str">
        <f t="shared" ref="J15:J18" si="0">CONCATENATE(ROUND(IFERROR(VALUE(H15) / VALUE(I15), 0) * 100, 2), "%")</f>
        <v>0%</v>
      </c>
      <c r="K15" s="13">
        <f t="shared" ref="K15:K18" si="1">ROUND(IFERROR(VALUE(H15) / VALUE(E15), 0) * 100, 2)</f>
        <v>0</v>
      </c>
    </row>
    <row r="16" spans="1:11" ht="15.75" customHeight="1" x14ac:dyDescent="0.2">
      <c r="A16" s="5"/>
      <c r="B16" s="17" t="s">
        <v>21</v>
      </c>
      <c r="C16" s="18"/>
      <c r="D16" s="7" t="s">
        <v>27</v>
      </c>
      <c r="E16" s="13">
        <f>IFERROR(VALUE(E24)+VALUE(E34)+VALUE(E30),0)</f>
        <v>0</v>
      </c>
      <c r="F16" s="13">
        <f>IFERROR(VALUE(F24)+VALUE(F34)+VALUE(F30),0)</f>
        <v>0</v>
      </c>
      <c r="G16" s="13">
        <f>IFERROR(VALUE(G24)+VALUE(G30)+VALUE(G34),0)</f>
        <v>0</v>
      </c>
      <c r="H16" s="13">
        <f>ROUND(IFERROR(VALUE(F16) + VALUE(G16),0),2)</f>
        <v>0</v>
      </c>
      <c r="I16" s="13">
        <f>IFERROR(VALUE(I24) + VALUE(I30) + VALUE(I34),0)</f>
        <v>0</v>
      </c>
      <c r="J16" s="13" t="str">
        <f t="shared" si="0"/>
        <v>0%</v>
      </c>
      <c r="K16" s="13">
        <f t="shared" si="1"/>
        <v>0</v>
      </c>
    </row>
    <row r="17" spans="1:11" ht="16.5" customHeight="1" x14ac:dyDescent="0.2">
      <c r="A17" s="5"/>
      <c r="B17" s="17" t="s">
        <v>23</v>
      </c>
      <c r="C17" s="18"/>
      <c r="D17" s="7" t="s">
        <v>27</v>
      </c>
      <c r="E17" s="13">
        <f>IFERROR(VALUE(E26) + VALUE(E31)+VALUE(E35),0)</f>
        <v>0</v>
      </c>
      <c r="F17" s="13">
        <f>IFERROR(VALUE(F26) + VALUE(F31)+VALUE(F35),0)</f>
        <v>0</v>
      </c>
      <c r="G17" s="13">
        <f>IFERROR(VALUE(G26)+VALUE(G31)+VALUE(G35),0)</f>
        <v>0</v>
      </c>
      <c r="H17" s="13">
        <f t="shared" ref="H17:H36" si="2">ROUND(IFERROR(VALUE(F17) + VALUE(G17),0),2)</f>
        <v>0</v>
      </c>
      <c r="I17" s="13">
        <f>IFERROR(VALUE(I26) + VALUE(I31) + VALUE(I35),0)</f>
        <v>0</v>
      </c>
      <c r="J17" s="13" t="str">
        <f t="shared" si="0"/>
        <v>0%</v>
      </c>
      <c r="K17" s="13">
        <f t="shared" si="1"/>
        <v>0</v>
      </c>
    </row>
    <row r="18" spans="1:11" ht="15.75" customHeight="1" x14ac:dyDescent="0.2">
      <c r="A18" s="5"/>
      <c r="B18" s="17" t="s">
        <v>24</v>
      </c>
      <c r="C18" s="18"/>
      <c r="D18" s="7" t="s">
        <v>27</v>
      </c>
      <c r="E18" s="13">
        <f>IFERROR(VALUE(E36),0)</f>
        <v>0</v>
      </c>
      <c r="F18" s="13">
        <f>IFERROR(VALUE(F36),0)</f>
        <v>0</v>
      </c>
      <c r="G18" s="13">
        <f>IFERROR(VALUE(G36),0)</f>
        <v>0</v>
      </c>
      <c r="H18" s="13">
        <f>ROUND(IFERROR(VALUE(F18) + VALUE(G18),0),2)</f>
        <v>0</v>
      </c>
      <c r="I18" s="13">
        <f>IFERROR(VALUE(I36),0)</f>
        <v>0</v>
      </c>
      <c r="J18" s="13" t="str">
        <f t="shared" si="0"/>
        <v>0%</v>
      </c>
      <c r="K18" s="13">
        <f t="shared" si="1"/>
        <v>0</v>
      </c>
    </row>
    <row r="19" spans="1:11" ht="13.5" x14ac:dyDescent="0.2">
      <c r="A19" s="5"/>
      <c r="B19" s="33" t="s">
        <v>25</v>
      </c>
      <c r="C19" s="34"/>
      <c r="D19" s="7"/>
      <c r="E19" s="13"/>
      <c r="F19" s="13"/>
      <c r="G19" s="13"/>
      <c r="H19" s="13"/>
      <c r="I19" s="13"/>
      <c r="J19" s="13"/>
      <c r="K19" s="13"/>
    </row>
    <row r="20" spans="1:11" ht="16.5" customHeight="1" x14ac:dyDescent="0.2">
      <c r="A20" s="6">
        <v>1</v>
      </c>
      <c r="B20" s="26" t="s">
        <v>26</v>
      </c>
      <c r="C20" s="28"/>
      <c r="D20" s="8" t="s">
        <v>27</v>
      </c>
      <c r="E20" s="13">
        <f t="shared" ref="E20:G21" si="3">IFERROR(VALUE(E22) + VALUE(E24) + VALUE(E26),0)</f>
        <v>0</v>
      </c>
      <c r="F20" s="13">
        <f t="shared" si="3"/>
        <v>0</v>
      </c>
      <c r="G20" s="13">
        <f t="shared" si="3"/>
        <v>0</v>
      </c>
      <c r="H20" s="13">
        <f t="shared" si="2"/>
        <v>0</v>
      </c>
      <c r="I20" s="13">
        <f>IFERROR(VALUE(I22) + VALUE(I24) + VALUE(I26),0)</f>
        <v>0</v>
      </c>
      <c r="J20" s="13" t="str">
        <f>CONCATENATE(ROUND(IFERROR(VALUE(H20)/VALUE(I20),0)*100,2), "%")</f>
        <v>0%</v>
      </c>
      <c r="K20" s="13">
        <f>ROUND(IFERROR(VALUE(H20) / VALUE(E20), 0) * 100, 2)</f>
        <v>0</v>
      </c>
    </row>
    <row r="21" spans="1:11" ht="14.25" customHeight="1" x14ac:dyDescent="0.2">
      <c r="A21" s="5"/>
      <c r="B21" s="35"/>
      <c r="C21" s="36"/>
      <c r="D21" s="7" t="s">
        <v>28</v>
      </c>
      <c r="E21" s="13">
        <f t="shared" si="3"/>
        <v>0</v>
      </c>
      <c r="F21" s="13">
        <f t="shared" si="3"/>
        <v>0</v>
      </c>
      <c r="G21" s="13">
        <f t="shared" si="3"/>
        <v>0</v>
      </c>
      <c r="H21" s="13">
        <f t="shared" si="2"/>
        <v>0</v>
      </c>
      <c r="I21" s="13">
        <f>IFERROR(VALUE(I23) + VALUE(I25) + VALUE(I27),0)</f>
        <v>0</v>
      </c>
      <c r="J21" s="13" t="str">
        <f t="shared" ref="J21:J36" si="4">CONCATENATE(ROUND(IFERROR(VALUE(H21)/VALUE(I21),0)*100,2), "%")</f>
        <v>0%</v>
      </c>
      <c r="K21" s="13">
        <f t="shared" ref="K21:K36" si="5">ROUND(IFERROR(VALUE(H21) / VALUE(E21), 0) * 100, 2)</f>
        <v>0</v>
      </c>
    </row>
    <row r="22" spans="1:11" ht="15" customHeight="1" x14ac:dyDescent="0.2">
      <c r="A22" s="5"/>
      <c r="B22" s="17" t="s">
        <v>29</v>
      </c>
      <c r="C22" s="18"/>
      <c r="D22" s="7" t="s">
        <v>27</v>
      </c>
      <c r="E22" s="13" t="s">
        <v>99</v>
      </c>
      <c r="F22" s="13" t="s">
        <v>103</v>
      </c>
      <c r="G22" s="13" t="s">
        <v>100</v>
      </c>
      <c r="H22" s="13">
        <f t="shared" si="2"/>
        <v>0</v>
      </c>
      <c r="I22" s="13" t="s">
        <v>127</v>
      </c>
      <c r="J22" s="13" t="str">
        <f t="shared" si="4"/>
        <v>0%</v>
      </c>
      <c r="K22" s="13">
        <f t="shared" si="5"/>
        <v>0</v>
      </c>
    </row>
    <row r="23" spans="1:11" ht="13.5" customHeight="1" x14ac:dyDescent="0.2">
      <c r="A23" s="5"/>
      <c r="B23" s="35"/>
      <c r="C23" s="36"/>
      <c r="D23" s="7" t="s">
        <v>28</v>
      </c>
      <c r="E23" s="13" t="s">
        <v>101</v>
      </c>
      <c r="F23" s="13" t="s">
        <v>104</v>
      </c>
      <c r="G23" s="13" t="s">
        <v>102</v>
      </c>
      <c r="H23" s="13">
        <f t="shared" si="2"/>
        <v>0</v>
      </c>
      <c r="I23" s="13" t="s">
        <v>128</v>
      </c>
      <c r="J23" s="13" t="str">
        <f t="shared" si="4"/>
        <v>0%</v>
      </c>
      <c r="K23" s="13">
        <f t="shared" si="5"/>
        <v>0</v>
      </c>
    </row>
    <row r="24" spans="1:11" ht="15" customHeight="1" x14ac:dyDescent="0.2">
      <c r="A24" s="5"/>
      <c r="B24" s="17" t="s">
        <v>30</v>
      </c>
      <c r="C24" s="18"/>
      <c r="D24" s="7" t="s">
        <v>27</v>
      </c>
      <c r="E24" s="13" t="s">
        <v>95</v>
      </c>
      <c r="F24" s="13" t="s">
        <v>105</v>
      </c>
      <c r="G24" s="13" t="s">
        <v>96</v>
      </c>
      <c r="H24" s="13">
        <f t="shared" si="2"/>
        <v>0</v>
      </c>
      <c r="I24" s="13" t="s">
        <v>129</v>
      </c>
      <c r="J24" s="13" t="str">
        <f t="shared" si="4"/>
        <v>0%</v>
      </c>
      <c r="K24" s="13">
        <f t="shared" si="5"/>
        <v>0</v>
      </c>
    </row>
    <row r="25" spans="1:11" ht="15.75" customHeight="1" x14ac:dyDescent="0.2">
      <c r="A25" s="5"/>
      <c r="B25" s="35"/>
      <c r="C25" s="36"/>
      <c r="D25" s="7" t="s">
        <v>28</v>
      </c>
      <c r="E25" s="13" t="s">
        <v>97</v>
      </c>
      <c r="F25" s="13" t="s">
        <v>106</v>
      </c>
      <c r="G25" s="13" t="s">
        <v>98</v>
      </c>
      <c r="H25" s="13">
        <f t="shared" si="2"/>
        <v>0</v>
      </c>
      <c r="I25" s="13" t="s">
        <v>130</v>
      </c>
      <c r="J25" s="13" t="str">
        <f t="shared" si="4"/>
        <v>0%</v>
      </c>
      <c r="K25" s="13">
        <f t="shared" si="5"/>
        <v>0</v>
      </c>
    </row>
    <row r="26" spans="1:11" ht="13.5" customHeight="1" x14ac:dyDescent="0.2">
      <c r="A26" s="5"/>
      <c r="B26" s="17" t="s">
        <v>31</v>
      </c>
      <c r="C26" s="18"/>
      <c r="D26" s="7" t="s">
        <v>27</v>
      </c>
      <c r="E26" s="13" t="s">
        <v>91</v>
      </c>
      <c r="F26" s="13" t="s">
        <v>107</v>
      </c>
      <c r="G26" s="13" t="s">
        <v>92</v>
      </c>
      <c r="H26" s="13">
        <f t="shared" si="2"/>
        <v>0</v>
      </c>
      <c r="I26" s="13" t="s">
        <v>131</v>
      </c>
      <c r="J26" s="13" t="str">
        <f t="shared" si="4"/>
        <v>0%</v>
      </c>
      <c r="K26" s="13">
        <f t="shared" si="5"/>
        <v>0</v>
      </c>
    </row>
    <row r="27" spans="1:11" ht="15" customHeight="1" x14ac:dyDescent="0.2">
      <c r="A27" s="5"/>
      <c r="B27" s="35"/>
      <c r="C27" s="36"/>
      <c r="D27" s="7" t="s">
        <v>28</v>
      </c>
      <c r="E27" s="13" t="s">
        <v>93</v>
      </c>
      <c r="F27" s="13" t="s">
        <v>108</v>
      </c>
      <c r="G27" s="13" t="s">
        <v>94</v>
      </c>
      <c r="H27" s="13">
        <f t="shared" si="2"/>
        <v>0</v>
      </c>
      <c r="I27" s="13" t="s">
        <v>132</v>
      </c>
      <c r="J27" s="13" t="str">
        <f t="shared" si="4"/>
        <v>0%</v>
      </c>
      <c r="K27" s="13">
        <f t="shared" si="5"/>
        <v>0</v>
      </c>
    </row>
    <row r="28" spans="1:11" ht="12.75" customHeight="1" x14ac:dyDescent="0.2">
      <c r="A28" s="6">
        <v>2</v>
      </c>
      <c r="B28" s="26" t="s">
        <v>32</v>
      </c>
      <c r="C28" s="28"/>
      <c r="D28" s="8" t="s">
        <v>27</v>
      </c>
      <c r="E28" s="13">
        <f>IFERROR(SUMPRODUCT(VALUE(E29:E31)),0)</f>
        <v>0</v>
      </c>
      <c r="F28" s="13">
        <f>IFERROR(SUMPRODUCT(VALUE(F29:F31)),0)</f>
        <v>0</v>
      </c>
      <c r="G28" s="13">
        <f>IFERROR(SUMPRODUCT(VALUE(G29:G31)),0)</f>
        <v>0</v>
      </c>
      <c r="H28" s="13">
        <f t="shared" si="2"/>
        <v>0</v>
      </c>
      <c r="I28" s="13">
        <f>IFERROR(SUMPRODUCT(VALUE(I29:I31)),0)</f>
        <v>0</v>
      </c>
      <c r="J28" s="13" t="str">
        <f t="shared" si="4"/>
        <v>0%</v>
      </c>
      <c r="K28" s="13">
        <f t="shared" si="5"/>
        <v>0</v>
      </c>
    </row>
    <row r="29" spans="1:11" ht="12.75" customHeight="1" x14ac:dyDescent="0.2">
      <c r="A29" s="5"/>
      <c r="B29" s="17" t="s">
        <v>29</v>
      </c>
      <c r="C29" s="18"/>
      <c r="D29" s="7" t="s">
        <v>27</v>
      </c>
      <c r="E29" s="13" t="s">
        <v>57</v>
      </c>
      <c r="F29" s="13" t="s">
        <v>109</v>
      </c>
      <c r="G29" s="13" t="s">
        <v>58</v>
      </c>
      <c r="H29" s="13">
        <f t="shared" si="2"/>
        <v>0</v>
      </c>
      <c r="I29" s="13" t="s">
        <v>133</v>
      </c>
      <c r="J29" s="13" t="str">
        <f t="shared" si="4"/>
        <v>0%</v>
      </c>
      <c r="K29" s="13">
        <f t="shared" si="5"/>
        <v>0</v>
      </c>
    </row>
    <row r="30" spans="1:11" ht="15.75" customHeight="1" x14ac:dyDescent="0.2">
      <c r="A30" s="5"/>
      <c r="B30" s="17" t="s">
        <v>33</v>
      </c>
      <c r="C30" s="18"/>
      <c r="D30" s="7" t="s">
        <v>27</v>
      </c>
      <c r="E30" s="13" t="s">
        <v>59</v>
      </c>
      <c r="F30" s="13" t="s">
        <v>110</v>
      </c>
      <c r="G30" s="13" t="s">
        <v>60</v>
      </c>
      <c r="H30" s="13">
        <f t="shared" si="2"/>
        <v>0</v>
      </c>
      <c r="I30" s="13" t="s">
        <v>134</v>
      </c>
      <c r="J30" s="13" t="str">
        <f t="shared" si="4"/>
        <v>0%</v>
      </c>
      <c r="K30" s="13">
        <f t="shared" si="5"/>
        <v>0</v>
      </c>
    </row>
    <row r="31" spans="1:11" ht="12.75" customHeight="1" x14ac:dyDescent="0.2">
      <c r="A31" s="5"/>
      <c r="B31" s="17" t="s">
        <v>31</v>
      </c>
      <c r="C31" s="18"/>
      <c r="D31" s="7" t="s">
        <v>27</v>
      </c>
      <c r="E31" s="13" t="s">
        <v>61</v>
      </c>
      <c r="F31" s="13" t="s">
        <v>111</v>
      </c>
      <c r="G31" s="13" t="s">
        <v>62</v>
      </c>
      <c r="H31" s="13">
        <f t="shared" si="2"/>
        <v>0</v>
      </c>
      <c r="I31" s="13" t="s">
        <v>135</v>
      </c>
      <c r="J31" s="13" t="str">
        <f t="shared" si="4"/>
        <v>0%</v>
      </c>
      <c r="K31" s="13">
        <f t="shared" si="5"/>
        <v>0</v>
      </c>
    </row>
    <row r="32" spans="1:11" ht="15.75" customHeight="1" x14ac:dyDescent="0.2">
      <c r="A32" s="6">
        <v>3</v>
      </c>
      <c r="B32" s="26" t="s">
        <v>34</v>
      </c>
      <c r="C32" s="28"/>
      <c r="D32" s="8" t="s">
        <v>27</v>
      </c>
      <c r="E32" s="13">
        <f>IFERROR(SUMPRODUCT(VALUE(E33:E35)),0)</f>
        <v>0</v>
      </c>
      <c r="F32" s="13">
        <f>IFERROR(SUMPRODUCT(VALUE(F33:F35)),0)</f>
        <v>0</v>
      </c>
      <c r="G32" s="13">
        <f>IFERROR(SUMPRODUCT(VALUE(G33:G35)),0)</f>
        <v>0</v>
      </c>
      <c r="H32" s="13">
        <f t="shared" si="2"/>
        <v>0</v>
      </c>
      <c r="I32" s="13" t="e">
        <f>SUMPRODUCT(VALUE(I33:I35))</f>
        <v>#VALUE!</v>
      </c>
      <c r="J32" s="13" t="str">
        <f t="shared" si="4"/>
        <v>0%</v>
      </c>
      <c r="K32" s="13">
        <f t="shared" si="5"/>
        <v>0</v>
      </c>
    </row>
    <row r="33" spans="1:11" ht="15.75" customHeight="1" x14ac:dyDescent="0.2">
      <c r="A33" s="5"/>
      <c r="B33" s="17" t="s">
        <v>29</v>
      </c>
      <c r="C33" s="18"/>
      <c r="D33" s="7" t="s">
        <v>27</v>
      </c>
      <c r="E33" s="13" t="s">
        <v>63</v>
      </c>
      <c r="F33" s="13" t="s">
        <v>112</v>
      </c>
      <c r="G33" s="13" t="s">
        <v>64</v>
      </c>
      <c r="H33" s="13">
        <f t="shared" si="2"/>
        <v>0</v>
      </c>
      <c r="I33" s="13" t="s">
        <v>136</v>
      </c>
      <c r="J33" s="13" t="str">
        <f t="shared" si="4"/>
        <v>0%</v>
      </c>
      <c r="K33" s="13">
        <f t="shared" si="5"/>
        <v>0</v>
      </c>
    </row>
    <row r="34" spans="1:11" ht="17.25" customHeight="1" x14ac:dyDescent="0.2">
      <c r="A34" s="5"/>
      <c r="B34" s="17" t="s">
        <v>30</v>
      </c>
      <c r="C34" s="18"/>
      <c r="D34" s="7" t="s">
        <v>27</v>
      </c>
      <c r="E34" s="13" t="s">
        <v>65</v>
      </c>
      <c r="F34" s="13" t="s">
        <v>113</v>
      </c>
      <c r="G34" s="13" t="s">
        <v>66</v>
      </c>
      <c r="H34" s="13">
        <f t="shared" si="2"/>
        <v>0</v>
      </c>
      <c r="I34" s="13" t="s">
        <v>137</v>
      </c>
      <c r="J34" s="13" t="str">
        <f t="shared" si="4"/>
        <v>0%</v>
      </c>
      <c r="K34" s="13">
        <f t="shared" si="5"/>
        <v>0</v>
      </c>
    </row>
    <row r="35" spans="1:11" ht="17.25" customHeight="1" x14ac:dyDescent="0.2">
      <c r="A35" s="5"/>
      <c r="B35" s="17" t="s">
        <v>31</v>
      </c>
      <c r="C35" s="18"/>
      <c r="D35" s="7" t="s">
        <v>27</v>
      </c>
      <c r="E35" s="13" t="s">
        <v>67</v>
      </c>
      <c r="F35" s="13" t="s">
        <v>114</v>
      </c>
      <c r="G35" s="13" t="s">
        <v>68</v>
      </c>
      <c r="H35" s="13">
        <f t="shared" si="2"/>
        <v>0</v>
      </c>
      <c r="I35" s="13" t="s">
        <v>138</v>
      </c>
      <c r="J35" s="13" t="str">
        <f t="shared" si="4"/>
        <v>0%</v>
      </c>
      <c r="K35" s="13">
        <f t="shared" si="5"/>
        <v>0</v>
      </c>
    </row>
    <row r="36" spans="1:11" ht="16.5" customHeight="1" x14ac:dyDescent="0.2">
      <c r="A36" s="6">
        <v>4</v>
      </c>
      <c r="B36" s="26" t="s">
        <v>24</v>
      </c>
      <c r="C36" s="28"/>
      <c r="D36" s="8" t="s">
        <v>27</v>
      </c>
      <c r="E36" s="13" t="s">
        <v>69</v>
      </c>
      <c r="F36" s="13" t="s">
        <v>115</v>
      </c>
      <c r="G36" s="13" t="s">
        <v>70</v>
      </c>
      <c r="H36" s="13">
        <f t="shared" si="2"/>
        <v>0</v>
      </c>
      <c r="I36" s="13" t="s">
        <v>139</v>
      </c>
      <c r="J36" s="13" t="str">
        <f t="shared" si="4"/>
        <v>0%</v>
      </c>
      <c r="K36" s="13">
        <f t="shared" si="5"/>
        <v>0</v>
      </c>
    </row>
    <row r="37" spans="1:11" ht="15" customHeight="1" x14ac:dyDescent="0.2">
      <c r="A37" s="6" t="s">
        <v>35</v>
      </c>
      <c r="B37" s="26" t="s">
        <v>36</v>
      </c>
      <c r="C37" s="27"/>
      <c r="D37" s="27"/>
      <c r="E37" s="27"/>
      <c r="F37" s="27"/>
      <c r="G37" s="27"/>
      <c r="H37" s="27"/>
      <c r="I37" s="27"/>
      <c r="J37" s="27"/>
      <c r="K37" s="28"/>
    </row>
    <row r="38" spans="1:11" ht="26.25" customHeight="1" x14ac:dyDescent="0.2">
      <c r="A38" s="6">
        <v>1</v>
      </c>
      <c r="B38" s="26" t="s">
        <v>37</v>
      </c>
      <c r="C38" s="28"/>
      <c r="D38" s="4" t="s">
        <v>27</v>
      </c>
      <c r="E38" s="13" t="s">
        <v>71</v>
      </c>
      <c r="F38" s="13" t="s">
        <v>116</v>
      </c>
      <c r="G38" s="13" t="s">
        <v>72</v>
      </c>
      <c r="H38" s="13">
        <f>ROUND(IFERROR(VALUE(F38)+ VALUE(G38),0),2)</f>
        <v>0</v>
      </c>
      <c r="I38" s="13" t="s">
        <v>140</v>
      </c>
      <c r="J38" s="13" t="str">
        <f>CONCATENATE(ROUND(IFERROR(VALUE(H38) / VALUE(I38), 0) * 100, 2), "%")</f>
        <v>0%</v>
      </c>
      <c r="K38" s="13">
        <f>ROUND(IFERROR(VALUE(H38) / VALUE(E38), 0) * 100, 2)</f>
        <v>0</v>
      </c>
    </row>
    <row r="39" spans="1:11" ht="26.25" customHeight="1" x14ac:dyDescent="0.2">
      <c r="A39" s="6">
        <v>2</v>
      </c>
      <c r="B39" s="26" t="s">
        <v>38</v>
      </c>
      <c r="C39" s="28"/>
      <c r="D39" s="4" t="s">
        <v>27</v>
      </c>
      <c r="E39" s="13">
        <f>IFERROR(VALUE(E40)+VALUE(E41),0)</f>
        <v>0</v>
      </c>
      <c r="F39" s="13">
        <f>IFERROR(VALUE(F40)+VALUE(F41),0)</f>
        <v>0</v>
      </c>
      <c r="G39" s="13">
        <f>IFERROR(VALUE(G40)+VALUE(G41),0)</f>
        <v>0</v>
      </c>
      <c r="H39" s="13">
        <f t="shared" ref="H39:H51" si="6">ROUND(IFERROR(VALUE(F39)+ VALUE(G39),0),2)</f>
        <v>0</v>
      </c>
      <c r="I39" s="13">
        <f>IFERROR(VALUE(I40)+VALUE(I41),0)</f>
        <v>0</v>
      </c>
      <c r="J39" s="13" t="str">
        <f t="shared" ref="J39:J52" si="7">CONCATENATE(ROUND(IFERROR(VALUE(H39) / VALUE(I39), 0) * 100, 2), "%")</f>
        <v>0%</v>
      </c>
      <c r="K39" s="13">
        <f t="shared" ref="K39:K52" si="8">ROUND(IFERROR(VALUE(H39) / VALUE(E39), 0) * 100, 2)</f>
        <v>0</v>
      </c>
    </row>
    <row r="40" spans="1:11" ht="39" customHeight="1" x14ac:dyDescent="0.2">
      <c r="A40" s="5">
        <v>2.1</v>
      </c>
      <c r="B40" s="17" t="s">
        <v>39</v>
      </c>
      <c r="C40" s="18"/>
      <c r="D40" s="9" t="s">
        <v>27</v>
      </c>
      <c r="E40" s="13" t="s">
        <v>73</v>
      </c>
      <c r="F40" s="13" t="s">
        <v>117</v>
      </c>
      <c r="G40" s="13" t="s">
        <v>74</v>
      </c>
      <c r="H40" s="13">
        <f t="shared" si="6"/>
        <v>0</v>
      </c>
      <c r="I40" s="13" t="s">
        <v>141</v>
      </c>
      <c r="J40" s="13" t="str">
        <f t="shared" si="7"/>
        <v>0%</v>
      </c>
      <c r="K40" s="13">
        <f t="shared" si="8"/>
        <v>0</v>
      </c>
    </row>
    <row r="41" spans="1:11" ht="41.25" customHeight="1" x14ac:dyDescent="0.2">
      <c r="A41" s="38">
        <v>2.2000000000000002</v>
      </c>
      <c r="B41" s="17" t="s">
        <v>56</v>
      </c>
      <c r="C41" s="18"/>
      <c r="D41" s="9" t="s">
        <v>27</v>
      </c>
      <c r="E41" s="13">
        <f>IFERROR(VALUE(E42)+VALUE(E43),0)</f>
        <v>0</v>
      </c>
      <c r="F41" s="13">
        <f>IFERROR(VALUE(F42)+VALUE(F43),0)</f>
        <v>0</v>
      </c>
      <c r="G41" s="13">
        <f>IFERROR(VALUE(G42)+VALUE(G43),0)</f>
        <v>0</v>
      </c>
      <c r="H41" s="13">
        <f>ROUND(IFERROR(VALUE(F41)+ VALUE(G41),0),2)</f>
        <v>0</v>
      </c>
      <c r="I41" s="13">
        <f>IFERROR(VALUE(I42)+VALUE(I43),0)</f>
        <v>0</v>
      </c>
      <c r="J41" s="13" t="str">
        <f t="shared" si="7"/>
        <v>0%</v>
      </c>
      <c r="K41" s="13">
        <f t="shared" si="8"/>
        <v>0</v>
      </c>
    </row>
    <row r="42" spans="1:11" ht="38.25" customHeight="1" x14ac:dyDescent="0.2">
      <c r="A42" s="39"/>
      <c r="B42" s="41" t="s">
        <v>41</v>
      </c>
      <c r="C42" s="14" t="s">
        <v>42</v>
      </c>
      <c r="D42" s="5" t="s">
        <v>27</v>
      </c>
      <c r="E42" s="13" t="s">
        <v>75</v>
      </c>
      <c r="F42" s="13" t="s">
        <v>118</v>
      </c>
      <c r="G42" s="13" t="s">
        <v>76</v>
      </c>
      <c r="H42" s="13">
        <f t="shared" si="6"/>
        <v>0</v>
      </c>
      <c r="I42" s="13" t="s">
        <v>142</v>
      </c>
      <c r="J42" s="13" t="str">
        <f t="shared" si="7"/>
        <v>0%</v>
      </c>
      <c r="K42" s="13">
        <f t="shared" si="8"/>
        <v>0</v>
      </c>
    </row>
    <row r="43" spans="1:11" ht="51" customHeight="1" x14ac:dyDescent="0.2">
      <c r="A43" s="40"/>
      <c r="B43" s="42"/>
      <c r="C43" s="10" t="s">
        <v>43</v>
      </c>
      <c r="D43" s="5" t="s">
        <v>27</v>
      </c>
      <c r="E43" s="13" t="s">
        <v>77</v>
      </c>
      <c r="F43" s="13" t="s">
        <v>119</v>
      </c>
      <c r="G43" s="13" t="s">
        <v>78</v>
      </c>
      <c r="H43" s="13">
        <f t="shared" si="6"/>
        <v>0</v>
      </c>
      <c r="I43" s="13" t="s">
        <v>143</v>
      </c>
      <c r="J43" s="13" t="str">
        <f t="shared" si="7"/>
        <v>0%</v>
      </c>
      <c r="K43" s="13">
        <f t="shared" si="8"/>
        <v>0</v>
      </c>
    </row>
    <row r="44" spans="1:11" ht="42.75" customHeight="1" x14ac:dyDescent="0.2">
      <c r="A44" s="6">
        <v>3</v>
      </c>
      <c r="B44" s="43" t="s">
        <v>157</v>
      </c>
      <c r="C44" s="44"/>
      <c r="D44" s="9" t="s">
        <v>27</v>
      </c>
      <c r="E44" s="13" t="s">
        <v>162</v>
      </c>
      <c r="F44" s="13" t="s">
        <v>120</v>
      </c>
      <c r="G44" s="13" t="s">
        <v>163</v>
      </c>
      <c r="H44" s="13">
        <f>ROUND(IFERROR(VALUE(F44)+ VALUE(G44),0),2)</f>
        <v>0</v>
      </c>
      <c r="I44" s="13" t="s">
        <v>144</v>
      </c>
      <c r="J44" s="13" t="str">
        <f t="shared" si="7"/>
        <v>0%</v>
      </c>
      <c r="K44" s="13">
        <f t="shared" si="8"/>
        <v>0</v>
      </c>
    </row>
    <row r="45" spans="1:11" ht="42.75" customHeight="1" x14ac:dyDescent="0.2">
      <c r="A45" s="6">
        <v>4</v>
      </c>
      <c r="B45" s="43" t="s">
        <v>44</v>
      </c>
      <c r="C45" s="44"/>
      <c r="D45" s="9" t="s">
        <v>27</v>
      </c>
      <c r="E45" s="13" t="s">
        <v>79</v>
      </c>
      <c r="F45" s="13" t="s">
        <v>121</v>
      </c>
      <c r="G45" s="13" t="s">
        <v>80</v>
      </c>
      <c r="H45" s="13">
        <f t="shared" si="6"/>
        <v>0</v>
      </c>
      <c r="I45" s="13" t="s">
        <v>145</v>
      </c>
      <c r="J45" s="13" t="str">
        <f t="shared" si="7"/>
        <v>0%</v>
      </c>
      <c r="K45" s="13">
        <f t="shared" si="8"/>
        <v>0</v>
      </c>
    </row>
    <row r="46" spans="1:11" ht="42.75" customHeight="1" x14ac:dyDescent="0.2">
      <c r="A46" s="6">
        <v>5</v>
      </c>
      <c r="B46" s="43" t="s">
        <v>154</v>
      </c>
      <c r="C46" s="44"/>
      <c r="D46" s="9" t="s">
        <v>27</v>
      </c>
      <c r="E46" s="13" t="s">
        <v>81</v>
      </c>
      <c r="F46" s="13" t="s">
        <v>122</v>
      </c>
      <c r="G46" s="13" t="s">
        <v>82</v>
      </c>
      <c r="H46" s="13">
        <f>ROUND(IFERROR(VALUE(F46)+ VALUE(G46),0),2)</f>
        <v>0</v>
      </c>
      <c r="I46" s="13" t="s">
        <v>146</v>
      </c>
      <c r="J46" s="13" t="str">
        <f t="shared" si="7"/>
        <v>0%</v>
      </c>
      <c r="K46" s="13">
        <f t="shared" si="8"/>
        <v>0</v>
      </c>
    </row>
    <row r="47" spans="1:11" ht="42.75" customHeight="1" x14ac:dyDescent="0.2">
      <c r="A47" s="6">
        <v>6</v>
      </c>
      <c r="B47" s="43" t="s">
        <v>156</v>
      </c>
      <c r="C47" s="44"/>
      <c r="D47" s="9" t="s">
        <v>27</v>
      </c>
      <c r="E47" s="13" t="s">
        <v>165</v>
      </c>
      <c r="F47" s="13" t="s">
        <v>159</v>
      </c>
      <c r="G47" s="13" t="s">
        <v>164</v>
      </c>
      <c r="H47" s="13">
        <f>ROUND(IFERROR(VALUE(F47)+ VALUE(G47),0),2)</f>
        <v>0</v>
      </c>
      <c r="I47" s="13" t="s">
        <v>160</v>
      </c>
      <c r="J47" s="13" t="str">
        <f t="shared" si="7"/>
        <v>0%</v>
      </c>
      <c r="K47" s="13">
        <f t="shared" si="8"/>
        <v>0</v>
      </c>
    </row>
    <row r="48" spans="1:11" ht="27" customHeight="1" x14ac:dyDescent="0.2">
      <c r="A48" s="6" t="s">
        <v>40</v>
      </c>
      <c r="B48" s="43" t="s">
        <v>161</v>
      </c>
      <c r="C48" s="44"/>
      <c r="D48" s="4" t="s">
        <v>45</v>
      </c>
      <c r="E48" s="13">
        <f>IFERROR(SUMPRODUCT(VALUE(E49:E51)),0)</f>
        <v>0</v>
      </c>
      <c r="F48" s="13">
        <f>IFERROR(SUMPRODUCT(VALUE(F49:F51)),0)</f>
        <v>0</v>
      </c>
      <c r="G48" s="13">
        <f>IFERROR(SUMPRODUCT(VALUE(G49:G51)),0)</f>
        <v>0</v>
      </c>
      <c r="H48" s="13">
        <f>ROUND(IFERROR(VALUE(F48)+ VALUE(G48),0),2)</f>
        <v>0</v>
      </c>
      <c r="I48" s="13">
        <f>IFERROR(SUMPRODUCT(VALUE(I49:I51)),0)</f>
        <v>0</v>
      </c>
      <c r="J48" s="13" t="str">
        <f t="shared" si="7"/>
        <v>0%</v>
      </c>
      <c r="K48" s="13">
        <f>ROUND(IFERROR(VALUE(H48) / VALUE(E48), 0) * 100, 2)</f>
        <v>0</v>
      </c>
    </row>
    <row r="49" spans="1:11" ht="27" customHeight="1" x14ac:dyDescent="0.2">
      <c r="A49" s="5">
        <v>3.1</v>
      </c>
      <c r="B49" s="17" t="s">
        <v>48</v>
      </c>
      <c r="C49" s="18"/>
      <c r="D49" s="9" t="s">
        <v>45</v>
      </c>
      <c r="E49" s="13" t="s">
        <v>83</v>
      </c>
      <c r="F49" s="13" t="s">
        <v>123</v>
      </c>
      <c r="G49" s="13" t="s">
        <v>84</v>
      </c>
      <c r="H49" s="13">
        <f t="shared" si="6"/>
        <v>0</v>
      </c>
      <c r="I49" s="13" t="s">
        <v>147</v>
      </c>
      <c r="J49" s="13" t="str">
        <f t="shared" si="7"/>
        <v>0%</v>
      </c>
      <c r="K49" s="13">
        <f t="shared" si="8"/>
        <v>0</v>
      </c>
    </row>
    <row r="50" spans="1:11" ht="40.5" customHeight="1" x14ac:dyDescent="0.2">
      <c r="A50" s="5">
        <v>3.2</v>
      </c>
      <c r="B50" s="17" t="s">
        <v>46</v>
      </c>
      <c r="C50" s="18"/>
      <c r="D50" s="9" t="s">
        <v>45</v>
      </c>
      <c r="E50" s="13" t="s">
        <v>85</v>
      </c>
      <c r="F50" s="13" t="s">
        <v>124</v>
      </c>
      <c r="G50" s="13" t="s">
        <v>86</v>
      </c>
      <c r="H50" s="13">
        <f t="shared" si="6"/>
        <v>0</v>
      </c>
      <c r="I50" s="13" t="s">
        <v>148</v>
      </c>
      <c r="J50" s="13" t="str">
        <f t="shared" si="7"/>
        <v>0%</v>
      </c>
      <c r="K50" s="13">
        <f t="shared" si="8"/>
        <v>0</v>
      </c>
    </row>
    <row r="51" spans="1:11" ht="39.75" customHeight="1" x14ac:dyDescent="0.2">
      <c r="A51" s="5">
        <v>3.3</v>
      </c>
      <c r="B51" s="17" t="s">
        <v>47</v>
      </c>
      <c r="C51" s="18"/>
      <c r="D51" s="9" t="s">
        <v>45</v>
      </c>
      <c r="E51" s="13" t="s">
        <v>87</v>
      </c>
      <c r="F51" s="13" t="s">
        <v>125</v>
      </c>
      <c r="G51" s="13" t="s">
        <v>88</v>
      </c>
      <c r="H51" s="13">
        <f t="shared" si="6"/>
        <v>0</v>
      </c>
      <c r="I51" s="13" t="s">
        <v>149</v>
      </c>
      <c r="J51" s="13" t="str">
        <f t="shared" si="7"/>
        <v>0%</v>
      </c>
      <c r="K51" s="13">
        <f t="shared" si="8"/>
        <v>0</v>
      </c>
    </row>
    <row r="52" spans="1:11" ht="26.25" customHeight="1" x14ac:dyDescent="0.2">
      <c r="A52" s="6" t="s">
        <v>158</v>
      </c>
      <c r="B52" s="26" t="s">
        <v>151</v>
      </c>
      <c r="C52" s="28"/>
      <c r="D52" s="15" t="s">
        <v>45</v>
      </c>
      <c r="E52" s="13" t="s">
        <v>89</v>
      </c>
      <c r="F52" s="13" t="s">
        <v>126</v>
      </c>
      <c r="G52" s="13" t="s">
        <v>90</v>
      </c>
      <c r="H52" s="13">
        <f>ROUND(IFERROR(VALUE(F52)+ VALUE(G52),0),2)</f>
        <v>0</v>
      </c>
      <c r="I52" s="13" t="s">
        <v>150</v>
      </c>
      <c r="J52" s="13" t="str">
        <f t="shared" si="7"/>
        <v>0%</v>
      </c>
      <c r="K52" s="13">
        <f t="shared" si="8"/>
        <v>0</v>
      </c>
    </row>
    <row r="53" spans="1:11" x14ac:dyDescent="0.2">
      <c r="B53" s="11"/>
      <c r="C53" s="11"/>
      <c r="G53" s="11"/>
      <c r="H53" s="11"/>
      <c r="I53" s="11"/>
      <c r="J53" s="11"/>
    </row>
    <row r="54" spans="1:11" x14ac:dyDescent="0.2">
      <c r="B54" s="12"/>
      <c r="C54" s="37" t="s">
        <v>51</v>
      </c>
      <c r="D54" s="37"/>
      <c r="G54" s="12"/>
      <c r="H54" s="37" t="s">
        <v>155</v>
      </c>
      <c r="I54" s="37"/>
      <c r="J54" s="37"/>
    </row>
    <row r="55" spans="1:11" x14ac:dyDescent="0.2">
      <c r="C55" s="37"/>
      <c r="D55" s="37"/>
      <c r="H55" s="37"/>
      <c r="I55" s="37"/>
      <c r="J55" s="37"/>
    </row>
    <row r="56" spans="1:11" x14ac:dyDescent="0.2">
      <c r="C56" s="37"/>
      <c r="D56" s="37"/>
      <c r="H56" s="37"/>
      <c r="I56" s="37"/>
      <c r="J56" s="37"/>
    </row>
    <row r="57" spans="1:11" x14ac:dyDescent="0.2">
      <c r="C57" s="37"/>
      <c r="D57" s="37"/>
      <c r="H57" s="37"/>
      <c r="I57" s="37"/>
      <c r="J57" s="37"/>
    </row>
    <row r="58" spans="1:11" x14ac:dyDescent="0.2">
      <c r="C58" s="37"/>
      <c r="D58" s="37"/>
      <c r="H58" s="37"/>
      <c r="I58" s="37"/>
      <c r="J58" s="37"/>
    </row>
  </sheetData>
  <mergeCells count="51">
    <mergeCell ref="B35:C35"/>
    <mergeCell ref="B50:C50"/>
    <mergeCell ref="B37:K37"/>
    <mergeCell ref="B38:C38"/>
    <mergeCell ref="B51:C51"/>
    <mergeCell ref="B39:C39"/>
    <mergeCell ref="B40:C40"/>
    <mergeCell ref="B47:C47"/>
    <mergeCell ref="B52:C52"/>
    <mergeCell ref="C54:D58"/>
    <mergeCell ref="H54:J58"/>
    <mergeCell ref="A41:A43"/>
    <mergeCell ref="B42:B43"/>
    <mergeCell ref="B49:C49"/>
    <mergeCell ref="B44:C44"/>
    <mergeCell ref="B45:C45"/>
    <mergeCell ref="B46:C46"/>
    <mergeCell ref="B48:C48"/>
    <mergeCell ref="B41:C41"/>
    <mergeCell ref="B19:C19"/>
    <mergeCell ref="B20:C20"/>
    <mergeCell ref="B21:C21"/>
    <mergeCell ref="B36:C36"/>
    <mergeCell ref="B23:C23"/>
    <mergeCell ref="B24:C24"/>
    <mergeCell ref="B26:C26"/>
    <mergeCell ref="B28:C28"/>
    <mergeCell ref="B29:C29"/>
    <mergeCell ref="B30:C30"/>
    <mergeCell ref="B25:C25"/>
    <mergeCell ref="B27:C27"/>
    <mergeCell ref="B31:C31"/>
    <mergeCell ref="B32:C32"/>
    <mergeCell ref="B33:C33"/>
    <mergeCell ref="B34:C34"/>
    <mergeCell ref="G2:K2"/>
    <mergeCell ref="B22:C22"/>
    <mergeCell ref="A7:K7"/>
    <mergeCell ref="B10:C11"/>
    <mergeCell ref="B12:C12"/>
    <mergeCell ref="B13:K13"/>
    <mergeCell ref="B14:C14"/>
    <mergeCell ref="B15:C15"/>
    <mergeCell ref="B16:C16"/>
    <mergeCell ref="F10:K10"/>
    <mergeCell ref="A10:A11"/>
    <mergeCell ref="D10:D11"/>
    <mergeCell ref="E10:E11"/>
    <mergeCell ref="A8:K8"/>
    <mergeCell ref="B17:C17"/>
    <mergeCell ref="B18:C18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2026-06-25T03:56:55Z</dcterms:modified>
</cp:coreProperties>
</file>