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F13" i="1"/>
  <c r="F14" i="1"/>
  <c r="F15" i="1"/>
  <c r="F16" i="1"/>
  <c r="E15" i="1" l="1"/>
  <c r="E14" i="1"/>
  <c r="E13" i="1"/>
  <c r="E11" i="1"/>
  <c r="D15" i="1"/>
  <c r="D14" i="1"/>
  <c r="D13" i="1"/>
  <c r="D23" i="1"/>
  <c r="D31" i="1" l="1"/>
  <c r="D27" i="1"/>
  <c r="D19" i="1"/>
  <c r="E19" i="1"/>
  <c r="E16" i="1"/>
  <c r="D16" i="1"/>
  <c r="D11" i="1"/>
  <c r="H31" i="1" l="1"/>
  <c r="F31" i="1"/>
  <c r="G31" i="1"/>
  <c r="E31" i="1"/>
  <c r="F27" i="1"/>
  <c r="G27" i="1"/>
  <c r="E27" i="1"/>
  <c r="F23" i="1"/>
  <c r="G23" i="1"/>
  <c r="E23" i="1"/>
  <c r="F19" i="1"/>
  <c r="G19" i="1"/>
  <c r="G11" i="1"/>
  <c r="F11" i="1"/>
  <c r="H11" i="1" l="1"/>
  <c r="H29" i="1"/>
  <c r="I11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9" i="1"/>
  <c r="H20" i="1"/>
  <c r="H21" i="1"/>
  <c r="H22" i="1"/>
  <c r="H23" i="1"/>
  <c r="H24" i="1"/>
  <c r="H25" i="1"/>
  <c r="H26" i="1"/>
  <c r="H27" i="1"/>
  <c r="H28" i="1"/>
  <c r="H30" i="1"/>
  <c r="H32" i="1"/>
  <c r="H33" i="1"/>
  <c r="H34" i="1"/>
  <c r="H35" i="1"/>
  <c r="H19" i="1"/>
  <c r="I14" i="1"/>
  <c r="I15" i="1"/>
  <c r="I16" i="1"/>
  <c r="I13" i="1"/>
  <c r="H14" i="1"/>
  <c r="H15" i="1"/>
  <c r="H16" i="1"/>
  <c r="H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jx:area(lastCell="I40")</t>
        </r>
      </text>
    </comment>
  </commentList>
</comments>
</file>

<file path=xl/sharedStrings.xml><?xml version="1.0" encoding="utf-8"?>
<sst xmlns="http://schemas.openxmlformats.org/spreadsheetml/2006/main" count="110" uniqueCount="92">
  <si>
    <t>Đơn vị báo cáo:</t>
  </si>
  <si>
    <t>Ngày nhận báo cáo:</t>
  </si>
  <si>
    <t>Đơn vị nhận báo cáo</t>
  </si>
  <si>
    <t>KHỐI LƯỢNG HÀNG HÓA THÔNG QUA CẢNG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</si>
  <si>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</si>
  <si>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</si>
  <si>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</si>
  <si>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</si>
  <si>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</si>
  <si>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</si>
  <si>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</si>
  <si>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</si>
  <si>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</si>
  <si>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</si>
  <si>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</si>
  <si>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</si>
  <si>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</si>
  <si>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</si>
  <si>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</si>
  <si>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</si>
  <si>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</si>
  <si>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</si>
  <si>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</si>
  <si>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</si>
  <si>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${fkDonViBcText}</t>
  </si>
  <si>
    <t>Ngày 15 tháng 02 năm sau</t>
  </si>
  <si>
    <t>STT</t>
  </si>
  <si>
    <t>Đơn vị tính, cách tính</t>
  </si>
  <si>
    <t>Hàng hóa thông qua cảng</t>
  </si>
  <si>
    <t>Ước thực hiện tháng báo cáo</t>
  </si>
  <si>
    <t>Lũy kế từ đầu năm đến hết tháng báo cáo</t>
  </si>
  <si>
    <t>Lũy kế cùng kỳ năm trước</t>
  </si>
  <si>
    <t>Biểu số 28-T</t>
  </si>
  <si>
    <t>Người lập báo cáo
(Ký, ghi rõ họ tên)</t>
  </si>
  <si>
    <t>….., ngày ... Tháng ... Năm …
(Thủ trưởng đơn vị ký, đóng dấu)</t>
  </si>
  <si>
    <t>${zobjComReport.containerHangXuatKhauKeHoachNamTan.asText()}</t>
  </si>
  <si>
    <t>${zobjComReport.containerHangXuatKhauUocThucHienThangBaoCaoTan.asText()}</t>
  </si>
  <si>
    <t>${zobjComReport.containerHangNhapKhauKeHoachNamTan.asText()}</t>
  </si>
  <si>
    <t>${zobjComReport.containerHangNhapKhauUocThucHienThangBaoCaoTan.asText()}</t>
  </si>
  <si>
    <t>${zobjComReport.containerHangNoiDiaKeHoachNamTan.asText()}</t>
  </si>
  <si>
    <t>${zobjComReport.containerHangNoiDiaUocThucHienThangBaoCaoTan.asText()}</t>
  </si>
  <si>
    <t>${zobjComReport.containerHangXuatKhauKeHoachNamTeus.asText()}</t>
  </si>
  <si>
    <t>${zobjComReport.containerHangXuatKhauUocThucHienThangBaoCaoTeus.asText()}</t>
  </si>
  <si>
    <t>${zobjComReport.containerHangNhapKhauKeHoachNamTeus.asText()}</t>
  </si>
  <si>
    <t>${zobjComReport.containerHangNhapKhauUocThucHienThangBaoCaoTeus.asText()}</t>
  </si>
  <si>
    <t>${zobjComReport.containerHangNoiDiaKeHoachNamTeus.asText()}</t>
  </si>
  <si>
    <t>${zobjComReport.containerHangNoiDiaUocThucHienThangBaoCaoTeus.asText()}</t>
  </si>
  <si>
    <t>${zobjComReport.hangLongHangXuatKhauKeHoachNam.asText()}</t>
  </si>
  <si>
    <t>${zobjComReport.hangLongHangXuatKhauUocThucHienThangBaoCao.asText()}</t>
  </si>
  <si>
    <t>${zobjComReport.hangLongHangNhapKhauKeHoachNam.asText()}</t>
  </si>
  <si>
    <t>${zobjComReport.hangLongHangNhapKhauUocThucHienThangBaoCao.asText()}</t>
  </si>
  <si>
    <t>${zobjComReport.hangLongHangNoiDiaKeHoachNam.asText()}</t>
  </si>
  <si>
    <t>${zobjComReport.hangLongHangNoiDiaUocThucHienThangBaoCao.asText()}</t>
  </si>
  <si>
    <t>${zobjComReport.hangKhoHangXuatKhauKeHoachNam.asText()}</t>
  </si>
  <si>
    <t>${zobjComReport.hangKhoHangXuatKhauUocThucHienThangBaoCao.asText()}</t>
  </si>
  <si>
    <t>${zobjComReport.hangKhoHangNhapKhauKeHoachNam.asText()}</t>
  </si>
  <si>
    <t>${zobjComReport.hangKhoHangNhapKhauUocThucHienThangBaoCao.asText()}</t>
  </si>
  <si>
    <t>${zobjComReport.hangKhoHangNoiDiaKeHoachNam.asText()}</t>
  </si>
  <si>
    <t>${zobjComReport.hangKhoHangNoiDiaUocThucHienThangBaoCao.asText()}</t>
  </si>
  <si>
    <t>${zobjComReport.hangQuaCanhXepDoKeHoachNam.asText()}</t>
  </si>
  <si>
    <t>${zobjComReport.hangQuaCanhXepDoUocThucHienThangBaoCao.asText()}</t>
  </si>
  <si>
    <t>${zobjDataDefault.containerHangXuatKhauLuyKeTuDauNamDenHetThangBaoCaoTan.asText()}</t>
  </si>
  <si>
    <t>${zobjDataDefault.containerHangNhapKhauLuyKeTuDauNamDenHetThangBaoCaoTan.asText()}</t>
  </si>
  <si>
    <t>${zobjDataDefault.containerHangNoiDiaLuyKeTuDauNamDenHetThangBaoCaoTan.asText()}</t>
  </si>
  <si>
    <t>${zobjDataDefault.containerHangXuatKhauLuyKeTuDauNamDenHetThangBaoCaoTeus.asText()}</t>
  </si>
  <si>
    <t>${zobjDataDefault.containerHangNhapKhauLuyKeTuDauNamDenHetThangBaoCaoTeus.asText()}</t>
  </si>
  <si>
    <t>${zobjDataDefault.containerHangNoiDiaLuyKeTuDauNamDenHetThangBaoCaoTeus.asText()}</t>
  </si>
  <si>
    <t>${zobjDataDefault.hangLongHangXuatKhauLuyKeTuDauNamDenHetThangBaoCao.asText()}</t>
  </si>
  <si>
    <t>${zobjDataDefault.hangLongHangNhapKhauLuyKeTuDauNamDenHetThangBaoCao.asText()}</t>
  </si>
  <si>
    <t>${zobjDataDefault.hangLongHangNoiDiaLuyKeTuDauNamDenHetThangBaoCao.asText()}</t>
  </si>
  <si>
    <t>${zobjDataDefault.hangKhoHangXuatKhauLuyKeTuDauNamDenHetThangBaoCao.asText()}</t>
  </si>
  <si>
    <t>${zobjDataDefault.hangKhoHangNhapKhauLuyKeTuDauNamDenHetThangBaoCao.asText()}</t>
  </si>
  <si>
    <t>${zobjDataDefault.hangKhoHangNoiDiaLuyKeTuDauNamDenHetThangBaoCao.asText()}</t>
  </si>
  <si>
    <t>${zobjDataDefault.hangQuaCanhXepDoLuyKeTuDauNamDenHetThangBaoCao.asText()}</t>
  </si>
  <si>
    <t>${zobjDataDefault.containerHangXuatKhauLuyKeCungKyNamTruocTan.asText()}</t>
  </si>
  <si>
    <t>${zobjDataDefault.containerHangNhapKhauLuyKeCungKyNamTruocTan.asText()}</t>
  </si>
  <si>
    <t>${zobjDataDefault.containerHangNoiDiaLuyKeCungKyNamTruocTan.asText()}</t>
  </si>
  <si>
    <t>${zobjDataDefault.containerHangXuatKhauLuyKeCungKyNamTruocTeus.asText()}</t>
  </si>
  <si>
    <t>${zobjDataDefault.containerHangNhapKhauLuyKeCungKyNamTruocTeus.asText()}</t>
  </si>
  <si>
    <t>${zobjDataDefault.containerHangNoiDiaLuyKeCungKyNamTruocTeus.asText()}</t>
  </si>
  <si>
    <t>${zobjDataDefault.hangLongHangXuatKhauLuyKeCungKyNamTruoc.asText()}</t>
  </si>
  <si>
    <t>${zobjDataDefault.hangLongHangNhapKhauLuyKeCungKyNamTruoc.asText()}</t>
  </si>
  <si>
    <t>${zobjDataDefault.hangLongHangNoiDiaLuyKeCungKyNamTruoc.asText()}</t>
  </si>
  <si>
    <t>${zobjDataDefault.hangKhoHangXuatKhauLuyKeCungKyNamTruoc.asText()}</t>
  </si>
  <si>
    <t>${zobjDataDefault.hangKhoHangNhapKhauLuyKeCungKyNamTruoc.asText()}</t>
  </si>
  <si>
    <t>${zobjDataDefault.hangKhoHangNoiDiaLuyKeCungKyNamTruoc.asText()}</t>
  </si>
  <si>
    <t>${zobjDataDefault.hangQuaCanhXepDoLuyKeCungKyNamTruoc.asText()}</t>
  </si>
  <si>
    <t>So với cùng kỳ năm trước
(%)</t>
  </si>
  <si>
    <t>So với  kế hoạch năm
(%)</t>
  </si>
  <si>
    <t>${bcThoiGianThangNam}</t>
  </si>
  <si>
    <t>BỘ XÂY DỰNG (Vụ vận tải)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</si>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</sst>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top" wrapText="1"/>
    </xf>
    <xf numFmtId="0" fontId="10" fillId="0" borderId="4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I40"/>
  <sheetViews>
    <sheetView tabSelected="1" zoomScaleNormal="100" workbookViewId="0">
      <selection sqref="A1:B1"/>
    </sheetView>
  </sheetViews>
  <sheetFormatPr defaultRowHeight="15" ns2:dyDescent="0.25"/>
  <cols>
    <col min="1" max="1" width="5.85546875" customWidth="1"/>
    <col min="2" max="2" width="20.85546875" customWidth="1"/>
    <col min="3" max="3" width="11" customWidth="1"/>
    <col min="4" max="4" width="17.42578125" customWidth="1"/>
    <col min="5" max="5" width="14.28515625" customWidth="1"/>
    <col min="6" max="6" width="14.7109375" customWidth="1"/>
    <col min="7" max="7" width="13.5703125" customWidth="1"/>
    <col min="8" max="8" width="12.140625" customWidth="1"/>
    <col min="9" max="9" width="12" customWidth="1"/>
  </cols>
  <sheetData>
    <row r="1" spans="1:9" ns2:dyDescent="0.25">
      <c r="A1" s="17" t="s">
        <v>32</v>
      </c>
      <c r="B1" s="17"/>
      <c r="C1" s="1"/>
      <c r="D1" s="1"/>
      <c r="E1" s="1"/>
      <c r="F1" s="1"/>
      <c r="G1" s="2" t="s">
        <v>0</v>
      </c>
    </row>
    <row r="2" spans="1:9" ns2:dyDescent="0.25">
      <c r="A2" s="18" t="s">
        <v>1</v>
      </c>
      <c r="B2" s="18"/>
      <c r="C2" s="1"/>
      <c r="D2" s="1"/>
      <c r="E2" s="1"/>
      <c r="F2" s="1"/>
      <c r="G2" s="3" t="s">
        <v>24</v>
      </c>
    </row>
    <row r="3" spans="1:9" ns2:dyDescent="0.25">
      <c r="A3" s="18" t="s">
        <v>25</v>
      </c>
      <c r="B3" s="18"/>
      <c r="C3" s="4"/>
      <c r="D3" s="4"/>
      <c r="E3" s="4"/>
      <c r="F3" s="4"/>
      <c r="G3" s="7" t="s">
        <v>2</v>
      </c>
    </row>
    <row r="4" spans="1:9" ns2:dyDescent="0.25">
      <c r="A4" s="4"/>
      <c r="B4" s="4"/>
      <c r="C4" s="4"/>
      <c r="D4" s="4"/>
      <c r="E4" s="4"/>
      <c r="F4" s="4"/>
      <c r="G4" s="6" t="s">
        <v>90</v>
      </c>
    </row>
    <row r="5" spans="1:9" ns2:dyDescent="0.25">
      <c r="A5" s="4"/>
      <c r="B5" s="4"/>
      <c r="C5" s="4"/>
      <c r="D5" s="4"/>
      <c r="E5" s="4"/>
      <c r="F5" s="4"/>
      <c r="G5" s="6"/>
      <c r="H5" s="6"/>
      <c r="I5" s="6"/>
    </row>
    <row r="6" spans="1:9" ht="15.75" ns2:dyDescent="0.25">
      <c r="A6" s="19" t="s">
        <v>3</v>
      </c>
      <c r="B6" s="19"/>
      <c r="C6" s="19"/>
      <c r="D6" s="19"/>
      <c r="E6" s="19"/>
      <c r="F6" s="19"/>
      <c r="G6" s="19"/>
      <c r="H6" s="19"/>
      <c r="I6" s="19"/>
    </row>
    <row r="7" spans="1:9" ht="15.75" ns2:dyDescent="0.25">
      <c r="A7" s="20" t="s">
        <v>89</v>
      </c>
      <c r="B7" s="20"/>
      <c r="C7" s="20"/>
      <c r="D7" s="20"/>
      <c r="E7" s="20"/>
      <c r="F7" s="20"/>
      <c r="G7" s="20"/>
      <c r="H7" s="20"/>
      <c r="I7" s="20"/>
    </row>
    <row r="8" spans="1:9" ns2:dyDescent="0.25">
      <c r="A8" s="24"/>
      <c r="B8" s="24"/>
      <c r="C8" s="24"/>
      <c r="D8" s="24"/>
      <c r="E8" s="24"/>
      <c r="F8" s="24"/>
      <c r="G8" s="24"/>
      <c r="H8" s="24"/>
      <c r="I8" s="24"/>
    </row>
    <row r="9" spans="1:9" ht="18" customHeight="1" ns2:dyDescent="0.25">
      <c r="A9" s="21" t="s">
        <v>26</v>
      </c>
      <c r="B9" s="21" t="s">
        <v>4</v>
      </c>
      <c r="C9" s="21" t="s">
        <v>27</v>
      </c>
      <c r="D9" s="21" t="s">
        <v>5</v>
      </c>
      <c r="E9" s="23" t="s">
        <v>28</v>
      </c>
      <c r="F9" s="23"/>
      <c r="G9" s="23"/>
      <c r="H9" s="23"/>
      <c r="I9" s="23"/>
    </row>
    <row r="10" spans="1:9" ht="47.25" customHeight="1" ns2:dyDescent="0.25">
      <c r="A10" s="22"/>
      <c r="B10" s="22"/>
      <c r="C10" s="22"/>
      <c r="D10" s="22"/>
      <c r="E10" s="8" t="s">
        <v>29</v>
      </c>
      <c r="F10" s="8" t="s">
        <v>30</v>
      </c>
      <c r="G10" s="8" t="s">
        <v>31</v>
      </c>
      <c r="H10" s="8" t="s">
        <v>87</v>
      </c>
      <c r="I10" s="8" t="s">
        <v>88</v>
      </c>
    </row>
    <row r="11" spans="1:9" ht="15" customHeight="1" ns2:dyDescent="0.25">
      <c r="A11" s="9"/>
      <c r="B11" s="10" t="s">
        <v>6</v>
      </c>
      <c r="C11" s="9" t="s">
        <v>7</v>
      </c>
      <c r="D11" s="12" t="e">
        <f>SUMPRODUCT(VALUE(D13:D16))</f>
        <v>#VALUE!</v>
      </c>
      <c r="E11" s="12" t="e">
        <f>SUMPRODUCT(VALUE(E13:E16))</f>
        <v>#VALUE!</v>
      </c>
      <c r="F11" s="12" t="e">
        <f t="shared" ref="F11" si="0">SUMPRODUCT(VALUE(F13:F16))</f>
        <v>#VALUE!</v>
      </c>
      <c r="G11" s="12" t="e">
        <f>SUMPRODUCT(VALUE(G13:G16))</f>
        <v>#VALUE!</v>
      </c>
      <c r="H11" s="12">
        <f>ROUND(IFERROR(VALUE(F11) / VALUE(G11), 0) * 100, 2)</f>
        <v>0</v>
      </c>
      <c r="I11" s="12">
        <f>ROUND(IFERROR(VALUE(F11) / VALUE(D11), 0) * 100, 2)</f>
        <v>0</v>
      </c>
    </row>
    <row r="12" spans="1:9" ht="15" customHeight="1" ns2:dyDescent="0.25">
      <c r="A12" s="11"/>
      <c r="B12" s="10" t="s">
        <v>8</v>
      </c>
      <c r="C12" s="9"/>
      <c r="D12" s="12"/>
      <c r="E12" s="12"/>
      <c r="F12" s="12"/>
      <c r="G12" s="12"/>
      <c r="H12" s="12"/>
      <c r="I12" s="12"/>
    </row>
    <row r="13" spans="1:9" ht="15" customHeight="1" ns2:dyDescent="0.25">
      <c r="A13" s="11"/>
      <c r="B13" s="9" t="s">
        <v>9</v>
      </c>
      <c r="C13" s="9"/>
      <c r="D13" s="12" t="e">
        <f t="shared" ref="D13:E15" si="1">VALUE(D20)+VALUE(D28)+ VALUE(D32)</f>
        <v>#VALUE!</v>
      </c>
      <c r="E13" s="12" t="e">
        <f t="shared" si="1"/>
        <v>#VALUE!</v>
      </c>
      <c r="F13" s="12" t="e">
        <f t="shared" ref="F13:G15" si="2">VALUE(F20)+VALUE(F28)+ VALUE(F32)</f>
        <v>#VALUE!</v>
      </c>
      <c r="G13" s="12" t="e">
        <f t="shared" si="2"/>
        <v>#VALUE!</v>
      </c>
      <c r="H13" s="12">
        <f>ROUND(IFERROR(VALUE(F13) / VALUE(G13), 0) * 100, 2)</f>
        <v>0</v>
      </c>
      <c r="I13" s="12">
        <f>ROUND(IFERROR(VALUE(F13) / VALUE(D13), 0) * 100, 2)</f>
        <v>0</v>
      </c>
    </row>
    <row r="14" spans="1:9" ht="15" customHeight="1" ns2:dyDescent="0.25">
      <c r="A14" s="11"/>
      <c r="B14" s="9" t="s">
        <v>10</v>
      </c>
      <c r="C14" s="9"/>
      <c r="D14" s="12" t="e">
        <f t="shared" si="1"/>
        <v>#VALUE!</v>
      </c>
      <c r="E14" s="12" t="e">
        <f t="shared" si="1"/>
        <v>#VALUE!</v>
      </c>
      <c r="F14" s="12" t="e">
        <f t="shared" si="2"/>
        <v>#VALUE!</v>
      </c>
      <c r="G14" s="12" t="e">
        <f t="shared" si="2"/>
        <v>#VALUE!</v>
      </c>
      <c r="H14" s="12">
        <f t="shared" ref="H14:H16" si="3">ROUND(IFERROR(VALUE(F14) / VALUE(G14), 0) * 100, 2)</f>
        <v>0</v>
      </c>
      <c r="I14" s="12">
        <f t="shared" ref="I14:I16" si="4">ROUND(IFERROR(VALUE(F14) / VALUE(D14), 0) * 100, 2)</f>
        <v>0</v>
      </c>
    </row>
    <row r="15" spans="1:9" ht="15" customHeight="1" ns2:dyDescent="0.25">
      <c r="A15" s="11"/>
      <c r="B15" s="9" t="s">
        <v>11</v>
      </c>
      <c r="C15" s="9"/>
      <c r="D15" s="12" t="e">
        <f t="shared" si="1"/>
        <v>#VALUE!</v>
      </c>
      <c r="E15" s="12" t="e">
        <f t="shared" si="1"/>
        <v>#VALUE!</v>
      </c>
      <c r="F15" s="12" t="e">
        <f t="shared" si="2"/>
        <v>#VALUE!</v>
      </c>
      <c r="G15" s="12" t="e">
        <f t="shared" si="2"/>
        <v>#VALUE!</v>
      </c>
      <c r="H15" s="12">
        <f t="shared" si="3"/>
        <v>0</v>
      </c>
      <c r="I15" s="12">
        <f t="shared" si="4"/>
        <v>0</v>
      </c>
    </row>
    <row r="16" spans="1:9" ht="15" customHeight="1" ns2:dyDescent="0.25">
      <c r="A16" s="11"/>
      <c r="B16" s="9" t="s">
        <v>12</v>
      </c>
      <c r="C16" s="9"/>
      <c r="D16" s="12" t="e">
        <f>VALUE(D35)</f>
        <v>#VALUE!</v>
      </c>
      <c r="E16" s="12" t="e">
        <f>VALUE(E35)</f>
        <v>#VALUE!</v>
      </c>
      <c r="F16" s="12" t="e">
        <f>VALUE(F35)</f>
        <v>#VALUE!</v>
      </c>
      <c r="G16" s="12" t="e">
        <f>VALUE(G35)</f>
        <v>#VALUE!</v>
      </c>
      <c r="H16" s="12">
        <f t="shared" si="3"/>
        <v>0</v>
      </c>
      <c r="I16" s="12">
        <f t="shared" si="4"/>
        <v>0</v>
      </c>
    </row>
    <row r="17" spans="1:9" ht="15" customHeight="1" ns2:dyDescent="0.25">
      <c r="A17" s="11"/>
      <c r="B17" s="10" t="s">
        <v>13</v>
      </c>
      <c r="C17" s="9"/>
      <c r="D17" s="12"/>
      <c r="E17" s="12"/>
      <c r="F17" s="12"/>
      <c r="G17" s="12"/>
      <c r="H17" s="12"/>
      <c r="I17" s="12"/>
    </row>
    <row r="18" spans="1:9" ht="15" customHeight="1" ns2:dyDescent="0.25">
      <c r="A18" s="11" t="s">
        <v>14</v>
      </c>
      <c r="B18" s="9" t="s">
        <v>15</v>
      </c>
      <c r="C18" s="9"/>
      <c r="D18" s="12"/>
      <c r="E18" s="12"/>
      <c r="F18" s="12"/>
      <c r="G18" s="12"/>
      <c r="H18" s="12"/>
      <c r="I18" s="12"/>
    </row>
    <row r="19" spans="1:9" ht="15" customHeight="1" ns2:dyDescent="0.25">
      <c r="A19" s="11" t="s">
        <v>16</v>
      </c>
      <c r="B19" s="9" t="s">
        <v>15</v>
      </c>
      <c r="C19" s="9" t="s">
        <v>7</v>
      </c>
      <c r="D19" s="12" t="e">
        <f>SUMPRODUCT(VALUE(D20:D22))</f>
        <v>#VALUE!</v>
      </c>
      <c r="E19" s="12" t="e">
        <f>SUMPRODUCT(VALUE(E20:E22))</f>
        <v>#VALUE!</v>
      </c>
      <c r="F19" s="12" t="e">
        <f>SUMPRODUCT(VALUE(F20:F22))</f>
        <v>#VALUE!</v>
      </c>
      <c r="G19" s="12" t="e">
        <f t="shared" ref="G19" si="5">SUMPRODUCT(VALUE(G20:G22))</f>
        <v>#VALUE!</v>
      </c>
      <c r="H19" s="12">
        <f>ROUND(IFERROR(VALUE(F19) / VALUE(G19), 0) * 100, 2)</f>
        <v>0</v>
      </c>
      <c r="I19" s="12">
        <f>ROUND(IFERROR(VALUE(F19) / VALUE(D19), 0) * 100, 2)</f>
        <v>0</v>
      </c>
    </row>
    <row r="20" spans="1:9" ht="15" customHeight="1" ns2:dyDescent="0.25">
      <c r="A20" s="11"/>
      <c r="B20" s="9" t="s">
        <v>9</v>
      </c>
      <c r="C20" s="9"/>
      <c r="D20" s="12" t="s">
        <v>35</v>
      </c>
      <c r="E20" s="12" t="s">
        <v>36</v>
      </c>
      <c r="F20" s="12" t="s">
        <v>61</v>
      </c>
      <c r="G20" s="12" t="s">
        <v>74</v>
      </c>
      <c r="H20" s="12">
        <f t="shared" ref="H20:H35" si="6">ROUND(IFERROR(VALUE(F20) / VALUE(G20), 0) * 100, 2)</f>
        <v>0</v>
      </c>
      <c r="I20" s="12">
        <f t="shared" ref="I20:I35" si="7">ROUND(IFERROR(VALUE(F20) / VALUE(D20), 0) * 100, 2)</f>
        <v>0</v>
      </c>
    </row>
    <row r="21" spans="1:9" ht="15" customHeight="1" ns2:dyDescent="0.25">
      <c r="A21" s="11"/>
      <c r="B21" s="9" t="s">
        <v>10</v>
      </c>
      <c r="C21" s="9"/>
      <c r="D21" s="12" t="s">
        <v>37</v>
      </c>
      <c r="E21" s="12" t="s">
        <v>38</v>
      </c>
      <c r="F21" s="12" t="s">
        <v>62</v>
      </c>
      <c r="G21" s="12" t="s">
        <v>75</v>
      </c>
      <c r="H21" s="12">
        <f t="shared" si="6"/>
        <v>0</v>
      </c>
      <c r="I21" s="12">
        <f t="shared" si="7"/>
        <v>0</v>
      </c>
    </row>
    <row r="22" spans="1:9" ht="15" customHeight="1" ns2:dyDescent="0.25">
      <c r="A22" s="11"/>
      <c r="B22" s="9" t="s">
        <v>11</v>
      </c>
      <c r="C22" s="9"/>
      <c r="D22" s="12" t="s">
        <v>39</v>
      </c>
      <c r="E22" s="12" t="s">
        <v>40</v>
      </c>
      <c r="F22" s="12" t="s">
        <v>63</v>
      </c>
      <c r="G22" s="12" t="s">
        <v>76</v>
      </c>
      <c r="H22" s="12">
        <f t="shared" si="6"/>
        <v>0</v>
      </c>
      <c r="I22" s="12">
        <f t="shared" si="7"/>
        <v>0</v>
      </c>
    </row>
    <row r="23" spans="1:9" ht="15" customHeight="1" ns2:dyDescent="0.25">
      <c r="A23" s="11" t="s">
        <v>91</v>
      </c>
      <c r="B23" s="9" t="s">
        <v>15</v>
      </c>
      <c r="C23" s="9" t="s">
        <v>17</v>
      </c>
      <c r="D23" s="12" t="e">
        <f>SUMPRODUCT(VALUE(D24:D26))</f>
        <v>#VALUE!</v>
      </c>
      <c r="E23" s="12" t="e">
        <f>SUMPRODUCT(VALUE(E24:E26))</f>
        <v>#VALUE!</v>
      </c>
      <c r="F23" s="12" t="e">
        <f t="shared" ref="F23:G23" si="8">SUMPRODUCT(VALUE(F24:F26))</f>
        <v>#VALUE!</v>
      </c>
      <c r="G23" s="12" t="e">
        <f t="shared" si="8"/>
        <v>#VALUE!</v>
      </c>
      <c r="H23" s="12">
        <f t="shared" si="6"/>
        <v>0</v>
      </c>
      <c r="I23" s="12">
        <f t="shared" si="7"/>
        <v>0</v>
      </c>
    </row>
    <row r="24" spans="1:9" ht="15" customHeight="1" ns2:dyDescent="0.25">
      <c r="A24" s="11"/>
      <c r="B24" s="9" t="s">
        <v>9</v>
      </c>
      <c r="C24" s="9"/>
      <c r="D24" s="12" t="s">
        <v>41</v>
      </c>
      <c r="E24" s="12" t="s">
        <v>42</v>
      </c>
      <c r="F24" s="12" t="s">
        <v>64</v>
      </c>
      <c r="G24" s="12" t="s">
        <v>77</v>
      </c>
      <c r="H24" s="12">
        <f t="shared" si="6"/>
        <v>0</v>
      </c>
      <c r="I24" s="12">
        <f t="shared" si="7"/>
        <v>0</v>
      </c>
    </row>
    <row r="25" spans="1:9" ht="15" customHeight="1" ns2:dyDescent="0.25">
      <c r="A25" s="11"/>
      <c r="B25" s="9" t="s">
        <v>10</v>
      </c>
      <c r="C25" s="9"/>
      <c r="D25" s="12" t="s">
        <v>43</v>
      </c>
      <c r="E25" s="12" t="s">
        <v>44</v>
      </c>
      <c r="F25" s="12" t="s">
        <v>65</v>
      </c>
      <c r="G25" s="12" t="s">
        <v>78</v>
      </c>
      <c r="H25" s="12">
        <f t="shared" si="6"/>
        <v>0</v>
      </c>
      <c r="I25" s="12">
        <f t="shared" si="7"/>
        <v>0</v>
      </c>
    </row>
    <row r="26" spans="1:9" ht="15" customHeight="1" ns2:dyDescent="0.25">
      <c r="A26" s="11"/>
      <c r="B26" s="9" t="s">
        <v>11</v>
      </c>
      <c r="C26" s="9"/>
      <c r="D26" s="12" t="s">
        <v>45</v>
      </c>
      <c r="E26" s="12" t="s">
        <v>46</v>
      </c>
      <c r="F26" s="12" t="s">
        <v>66</v>
      </c>
      <c r="G26" s="12" t="s">
        <v>79</v>
      </c>
      <c r="H26" s="12">
        <f t="shared" si="6"/>
        <v>0</v>
      </c>
      <c r="I26" s="12">
        <f t="shared" si="7"/>
        <v>0</v>
      </c>
    </row>
    <row r="27" spans="1:9" ht="15" customHeight="1" ns2:dyDescent="0.25">
      <c r="A27" s="11" t="s">
        <v>18</v>
      </c>
      <c r="B27" s="9" t="s">
        <v>19</v>
      </c>
      <c r="C27" s="9" t="s">
        <v>7</v>
      </c>
      <c r="D27" s="12" t="e">
        <f>SUMPRODUCT(VALUE(D28:D30))</f>
        <v>#VALUE!</v>
      </c>
      <c r="E27" s="12" t="e">
        <f>SUMPRODUCT(VALUE(E28:E30))</f>
        <v>#VALUE!</v>
      </c>
      <c r="F27" s="12" t="e">
        <f t="shared" ref="F27:G27" si="9">SUMPRODUCT(VALUE(F28:F30))</f>
        <v>#VALUE!</v>
      </c>
      <c r="G27" s="12" t="e">
        <f t="shared" si="9"/>
        <v>#VALUE!</v>
      </c>
      <c r="H27" s="12">
        <f t="shared" si="6"/>
        <v>0</v>
      </c>
      <c r="I27" s="12">
        <f t="shared" si="7"/>
        <v>0</v>
      </c>
    </row>
    <row r="28" spans="1:9" ht="15" customHeight="1" ns2:dyDescent="0.25">
      <c r="A28" s="11"/>
      <c r="B28" s="9" t="s">
        <v>9</v>
      </c>
      <c r="C28" s="9"/>
      <c r="D28" s="12" t="s">
        <v>47</v>
      </c>
      <c r="E28" s="12" t="s">
        <v>48</v>
      </c>
      <c r="F28" s="12" t="s">
        <v>67</v>
      </c>
      <c r="G28" s="12" t="s">
        <v>80</v>
      </c>
      <c r="H28" s="12">
        <f t="shared" si="6"/>
        <v>0</v>
      </c>
      <c r="I28" s="12">
        <f t="shared" si="7"/>
        <v>0</v>
      </c>
    </row>
    <row r="29" spans="1:9" ht="15" customHeight="1" ns2:dyDescent="0.25">
      <c r="A29" s="11"/>
      <c r="B29" s="9" t="s">
        <v>10</v>
      </c>
      <c r="C29" s="9"/>
      <c r="D29" s="12" t="s">
        <v>49</v>
      </c>
      <c r="E29" s="12" t="s">
        <v>50</v>
      </c>
      <c r="F29" s="12" t="s">
        <v>68</v>
      </c>
      <c r="G29" s="12" t="s">
        <v>81</v>
      </c>
      <c r="H29" s="12">
        <f>ROUND(IFERROR(VALUE(F29) / VALUE(G29), 0) * 100, 2)</f>
        <v>0</v>
      </c>
      <c r="I29" s="12">
        <f t="shared" si="7"/>
        <v>0</v>
      </c>
    </row>
    <row r="30" spans="1:9" ht="15" customHeight="1" ns2:dyDescent="0.25">
      <c r="A30" s="11"/>
      <c r="B30" s="9" t="s">
        <v>11</v>
      </c>
      <c r="C30" s="9"/>
      <c r="D30" s="12" t="s">
        <v>51</v>
      </c>
      <c r="E30" s="12" t="s">
        <v>52</v>
      </c>
      <c r="F30" s="12" t="s">
        <v>69</v>
      </c>
      <c r="G30" s="12" t="s">
        <v>82</v>
      </c>
      <c r="H30" s="12">
        <f t="shared" si="6"/>
        <v>0</v>
      </c>
      <c r="I30" s="12">
        <f t="shared" si="7"/>
        <v>0</v>
      </c>
    </row>
    <row r="31" spans="1:9" ht="15" customHeight="1" ns2:dyDescent="0.25">
      <c r="A31" s="11" t="s">
        <v>20</v>
      </c>
      <c r="B31" s="9" t="s">
        <v>21</v>
      </c>
      <c r="C31" s="9" t="s">
        <v>7</v>
      </c>
      <c r="D31" s="12" t="e">
        <f>SUMPRODUCT(VALUE(D32:D34))</f>
        <v>#VALUE!</v>
      </c>
      <c r="E31" s="12" t="e">
        <f>SUMPRODUCT(VALUE(E32:E34))</f>
        <v>#VALUE!</v>
      </c>
      <c r="F31" s="12" t="e">
        <f t="shared" ref="F31:G31" si="10">SUMPRODUCT(VALUE(F32:F34))</f>
        <v>#VALUE!</v>
      </c>
      <c r="G31" s="12" t="e">
        <f t="shared" si="10"/>
        <v>#VALUE!</v>
      </c>
      <c r="H31" s="12">
        <f>ROUND(IFERROR(VALUE(F31) / VALUE(G31), 0) * 100, 2)</f>
        <v>0</v>
      </c>
      <c r="I31" s="12">
        <f t="shared" si="7"/>
        <v>0</v>
      </c>
    </row>
    <row r="32" spans="1:9" ht="15" customHeight="1" ns2:dyDescent="0.25">
      <c r="A32" s="11"/>
      <c r="B32" s="9" t="s">
        <v>9</v>
      </c>
      <c r="C32" s="9"/>
      <c r="D32" s="12" t="s">
        <v>53</v>
      </c>
      <c r="E32" s="12" t="s">
        <v>54</v>
      </c>
      <c r="F32" s="12" t="s">
        <v>70</v>
      </c>
      <c r="G32" s="12" t="s">
        <v>83</v>
      </c>
      <c r="H32" s="12">
        <f t="shared" si="6"/>
        <v>0</v>
      </c>
      <c r="I32" s="12">
        <f t="shared" si="7"/>
        <v>0</v>
      </c>
    </row>
    <row r="33" spans="1:9" ht="15" customHeight="1" ns2:dyDescent="0.25">
      <c r="A33" s="11"/>
      <c r="B33" s="9" t="s">
        <v>10</v>
      </c>
      <c r="C33" s="9"/>
      <c r="D33" s="12" t="s">
        <v>55</v>
      </c>
      <c r="E33" s="12" t="s">
        <v>56</v>
      </c>
      <c r="F33" s="12" t="s">
        <v>71</v>
      </c>
      <c r="G33" s="12" t="s">
        <v>84</v>
      </c>
      <c r="H33" s="12">
        <f t="shared" si="6"/>
        <v>0</v>
      </c>
      <c r="I33" s="12">
        <f t="shared" si="7"/>
        <v>0</v>
      </c>
    </row>
    <row r="34" spans="1:9" ht="15" customHeight="1" ns2:dyDescent="0.25">
      <c r="A34" s="11"/>
      <c r="B34" s="9" t="s">
        <v>11</v>
      </c>
      <c r="C34" s="9"/>
      <c r="D34" s="12" t="s">
        <v>57</v>
      </c>
      <c r="E34" s="12" t="s">
        <v>58</v>
      </c>
      <c r="F34" s="12" t="s">
        <v>72</v>
      </c>
      <c r="G34" s="12" t="s">
        <v>85</v>
      </c>
      <c r="H34" s="12">
        <f t="shared" si="6"/>
        <v>0</v>
      </c>
      <c r="I34" s="12">
        <f t="shared" si="7"/>
        <v>0</v>
      </c>
    </row>
    <row r="35" spans="1:9" ht="15" customHeight="1" ns2:dyDescent="0.25">
      <c r="A35" s="11" t="s">
        <v>22</v>
      </c>
      <c r="B35" s="9" t="s">
        <v>23</v>
      </c>
      <c r="C35" s="9" t="s">
        <v>7</v>
      </c>
      <c r="D35" s="12" t="s">
        <v>59</v>
      </c>
      <c r="E35" s="12" t="s">
        <v>60</v>
      </c>
      <c r="F35" s="12" t="s">
        <v>73</v>
      </c>
      <c r="G35" s="12" t="s">
        <v>86</v>
      </c>
      <c r="H35" s="12">
        <f t="shared" si="6"/>
        <v>0</v>
      </c>
      <c r="I35" s="12">
        <f t="shared" si="7"/>
        <v>0</v>
      </c>
    </row>
    <row r="36" spans="1:9" ns2:dyDescent="0.25">
      <c r="A36" s="13"/>
      <c r="B36" s="13"/>
      <c r="C36" s="6"/>
      <c r="D36" s="6"/>
      <c r="E36" s="6"/>
      <c r="F36" s="6"/>
      <c r="G36" s="6"/>
      <c r="H36" s="6"/>
      <c r="I36" s="6"/>
    </row>
    <row r="37" spans="1:9" ns2:dyDescent="0.25">
      <c r="B37" s="15" t="s">
        <v>33</v>
      </c>
      <c r="C37" s="16"/>
      <c r="D37" s="6"/>
      <c r="E37" s="6"/>
      <c r="F37" s="6"/>
      <c r="G37" s="15" t="s">
        <v>34</v>
      </c>
      <c r="H37" s="16"/>
      <c r="I37" s="16"/>
    </row>
    <row r="38" spans="1:9" ns2:dyDescent="0.25">
      <c r="B38" s="16"/>
      <c r="C38" s="16"/>
      <c r="D38" s="6"/>
      <c r="E38" s="6"/>
      <c r="F38" s="6"/>
      <c r="G38" s="16"/>
      <c r="H38" s="16"/>
      <c r="I38" s="16"/>
    </row>
    <row r="39" spans="1:9" ns2:dyDescent="0.25">
      <c r="A39" s="5"/>
      <c r="B39" s="16"/>
      <c r="C39" s="16"/>
      <c r="D39" s="14"/>
      <c r="E39" s="14"/>
      <c r="F39" s="5"/>
      <c r="G39" s="16"/>
      <c r="H39" s="16"/>
      <c r="I39" s="16"/>
    </row>
    <row r="40" spans="1:9" ns2:dyDescent="0.25">
      <c r="A40" s="5"/>
      <c r="B40" s="16"/>
      <c r="C40" s="16"/>
      <c r="D40" s="5"/>
      <c r="E40" s="5"/>
      <c r="F40" s="5"/>
      <c r="G40" s="16"/>
      <c r="H40" s="16"/>
      <c r="I40" s="16"/>
    </row>
  </sheetData>
  <mergeCells count="15">
    <mergeCell ref="A36:B36"/>
    <mergeCell ref="D39:E39"/>
    <mergeCell ref="B37:C40"/>
    <mergeCell ref="G37:I40"/>
    <mergeCell ref="A1:B1"/>
    <mergeCell ref="A2:B2"/>
    <mergeCell ref="A6:I6"/>
    <mergeCell ref="A7:I7"/>
    <mergeCell ref="D9:D10"/>
    <mergeCell ref="C9:C10"/>
    <mergeCell ref="B9:B10"/>
    <mergeCell ref="A9:A10"/>
    <mergeCell ref="E9:I9"/>
    <mergeCell ref="A3:B3"/>
    <mergeCell ref="A8:I8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2025-11-27T08:36:43Z</dcterms:modified>
</cp:coreProperties>
</file>