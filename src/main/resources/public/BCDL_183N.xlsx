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E18" i="1"/>
  <c r="D18" i="1"/>
  <c r="F25" i="1"/>
  <c r="F24" i="1"/>
  <c r="F23" i="1"/>
  <c r="F21" i="1"/>
  <c r="F19" i="1"/>
  <c r="F20" i="1"/>
  <c r="F14" i="1"/>
  <c r="F15" i="1"/>
  <c r="F16" i="1"/>
  <c r="F13" i="1"/>
  <c r="F18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jx:area(lastCell="F30")</t>
        </r>
      </text>
    </comment>
  </commentList>
</comments>
</file>

<file path=xl/sharedStrings.xml><?xml version="1.0" encoding="utf-8"?>
<sst xmlns="http://schemas.openxmlformats.org/spreadsheetml/2006/main" count="71" uniqueCount="59">
  <si>
    <t>STT</t>
  </si>
  <si>
    <t>Chỉ tiêu</t>
  </si>
  <si>
    <t>Đơn vị</t>
  </si>
  <si>
    <t>A</t>
  </si>
  <si>
    <t>B</t>
  </si>
  <si>
    <t>C</t>
  </si>
  <si>
    <t>I</t>
  </si>
  <si>
    <t>Tổng số</t>
  </si>
  <si>
    <t>Hàng xuất khẩu</t>
  </si>
  <si>
    <t>Hàng nhập khẩu</t>
  </si>
  <si>
    <t>Hàng nội địa</t>
  </si>
  <si>
    <t>Chia ra</t>
  </si>
  <si>
    <t>Hàng container</t>
  </si>
  <si>
    <t>Hàng lỏng, ga, …</t>
  </si>
  <si>
    <t>Hàng khô, bách hóa</t>
  </si>
  <si>
    <t>II</t>
  </si>
  <si>
    <t>Teus</t>
  </si>
  <si>
    <t>Tấn</t>
  </si>
  <si>
    <t xml:space="preserve">Đơn vị báo cáo: </t>
  </si>
  <si>
    <t>${fkDonViBcText}</t>
  </si>
  <si>
    <t xml:space="preserve">Đơn vị nhận báo cáo: </t>
  </si>
  <si>
    <t>Người lập báo cáo</t>
  </si>
  <si>
    <t>(Ký, ghi rõ họ tên)</t>
  </si>
  <si>
    <t>(Thủ trưởng đơn vị ký, đóng dấu)</t>
  </si>
  <si>
    <t>Thông qua cảng biển bằng tàu biển Việt Nam</t>
  </si>
  <si>
    <t>Hàng lỏng, ga…</t>
  </si>
  <si>
    <t>Thông qua cảng biển bằng Phương tiện thủy nội địa</t>
  </si>
  <si>
    <t>3=1/2</t>
  </si>
  <si>
    <t>Khối lượng kỳ lựa chọn</t>
  </si>
  <si>
    <t>Khối lượng cùng kỳ năm trước</t>
  </si>
  <si>
    <t>So sánh cùng kỳ năm trước (%)</t>
  </si>
  <si>
    <t>…, ngày … tháng … năm …</t>
  </si>
  <si>
    <t>${zobjComReport.hangTndContainerTeusKyLuaChon.asText()}</t>
  </si>
  <si>
    <t>${zobjComReport.hangTndContainerTanKyLuaChon.asText()}</t>
  </si>
  <si>
    <t>${zobjComReport.hangTndLongGaKyLuaChon.asText()}</t>
  </si>
  <si>
    <t>${zobjComReport.hangTndKhoBachHoaKyLuaChon.asText()}</t>
  </si>
  <si>
    <t>${zobjComReport.hangXuatKhauKyLuaChon.asText()}</t>
  </si>
  <si>
    <t>${zobjComReport.hangTndContainerTeusCungKyNamTruoc.asText()}</t>
  </si>
  <si>
    <t>${zobjComReport.hangTndContainerTanCungKyNamTruoc.asText()}</t>
  </si>
  <si>
    <t>${zobjComReport.hangTndLongGaCungKyNamTruoc.asText()}</t>
  </si>
  <si>
    <t>${zobjComReport.hangTndKhoBachHoaCungKyNamTruoc.asText()}</t>
  </si>
  <si>
    <t>${zobjComReport.hangXuatKhauCungKyNamTruoc.asText()}</t>
  </si>
  <si>
    <t>${zobjComReport.hangNhapKhauKyLuaChon.asText()}</t>
  </si>
  <si>
    <t>${zobjComReport.hangNhapKhauCungKyNamTruoc.asText()}</t>
  </si>
  <si>
    <t>${zobjComReport.hangNoiDiaKyLuaChon.asText()}</t>
  </si>
  <si>
    <t>${zobjComReport.hangNoiDiaCungKyNamTruoc.asText()}</t>
  </si>
  <si>
    <t>${zobjComReport.hangContainerTeusKyLuaChon.asText()}</t>
  </si>
  <si>
    <t>${zobjComReport.hangContainerTeusCungKyNamTruoc.asText()}</t>
  </si>
  <si>
    <t>${zobjComReport.hangContainerTanKyLuaChon.asText()}</t>
  </si>
  <si>
    <t>${zobjComReport.hangContainerTanCungKyNamTruoc.asText()}</t>
  </si>
  <si>
    <t>${zobjComReport.hangLongGaKyLuaChon.asText()}</t>
  </si>
  <si>
    <t>${zobjComReport.hangLongGaCungKyNamTruoc.asText()}</t>
  </si>
  <si>
    <t>${zobjComReport.hangKhoBachHoaKyLuaChon.asText()}</t>
  </si>
  <si>
    <t>${zobjComReport.hangKhoBachHoaCungKyNamTruoc.asText()}</t>
  </si>
  <si>
    <t>Thời gian báo cáo: ${bcThoiGian}</t>
  </si>
  <si>
    <t>Thời gian so sánh: ${ssThoiGian}</t>
  </si>
  <si>
    <t>Biểu số …</t>
  </si>
  <si>
    <t>KHỐI LƯỢNG HÀNG HÓA THÔNG QUA CẢNG BIỂN 
BẰNG ĐỘI TÀU BIỂN VIỆT NAM VÀ PHƯƠNG TIỆN THỦY NỘI ĐỊA</t>
  </si>
  <si>
    <t>Cục Hàng hải và Đường thủy Việt Nam (Phòng Vận tải - An toàn và phương tiện)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</si>
</sst>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5" fillId="0" borderId="1" xfId="0" applyNumberFormat="1" applyFont="1" applyBorder="1" applyAlignment="1">
      <alignment horizontal="right" vertical="top" wrapText="1"/>
    </xf>
    <xf numFmtId="0" fontId="4" fillId="0" borderId="0" xfId="0" applyNumberFormat="1" applyFont="1" applyAlignment="1">
      <alignment vertical="center"/>
    </xf>
    <xf numFmtId="0" fontId="5" fillId="0" borderId="0" xfId="0" applyNumberFormat="1" applyFont="1"/>
    <xf numFmtId="0" fontId="4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 vertical="top"/>
    </xf>
    <xf numFmtId="0" fontId="5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G30"/>
  <sheetViews>
    <sheetView tabSelected="1" zoomScaleNormal="100" zoomScaleSheetLayoutView="115" workbookViewId="0">
      <selection sqref="A1:C1"/>
    </sheetView>
  </sheetViews>
  <sheetFormatPr defaultRowHeight="16.5" ns2:dyDescent="0.25"/>
  <cols>
    <col min="1" max="1" width="7.140625" style="1" customWidth="1"/>
    <col min="2" max="2" width="25.42578125" style="1" customWidth="1"/>
    <col min="3" max="3" width="8.42578125" style="1" customWidth="1"/>
    <col min="4" max="5" width="28.7109375" style="1" customWidth="1"/>
    <col min="6" max="6" width="16.85546875" style="17" customWidth="1"/>
    <col min="7" max="16384" width="9.140625" style="1"/>
  </cols>
  <sheetData>
    <row r="1" spans="1:7" ht="15" customHeight="1" ns2:dyDescent="0.25">
      <c r="A1" s="24" t="s">
        <v>56</v>
      </c>
      <c r="B1" s="24"/>
      <c r="C1" s="24"/>
      <c r="E1" s="14" t="s">
        <v>18</v>
      </c>
      <c r="F1" s="14"/>
    </row>
    <row r="2" spans="1:7" ht="15" customHeight="1" ns2:dyDescent="0.25">
      <c r="A2" s="23"/>
      <c r="B2" s="23"/>
      <c r="C2" s="23"/>
      <c r="E2" s="15" t="s">
        <v>19</v>
      </c>
    </row>
    <row r="3" spans="1:7" ht="15" customHeight="1" ns2:dyDescent="0.25">
      <c r="A3" s="23"/>
      <c r="B3" s="23"/>
      <c r="C3" s="23"/>
      <c r="D3" s="3"/>
      <c r="E3" s="12" t="s">
        <v>20</v>
      </c>
      <c r="F3" s="12"/>
      <c r="G3" s="12"/>
    </row>
    <row r="4" spans="1:7" ht="15" customHeight="1" ns2:dyDescent="0.25">
      <c r="A4" s="10"/>
      <c r="B4" s="10"/>
      <c r="C4" s="10"/>
      <c r="D4" s="3"/>
      <c r="E4" s="44" t="s">
        <v>58</v>
      </c>
      <c r="F4" s="44"/>
    </row>
    <row r="5" spans="1:7" ht="15" customHeight="1" ns2:dyDescent="0.25">
      <c r="A5" s="10"/>
      <c r="B5" s="10"/>
      <c r="C5" s="10"/>
      <c r="D5" s="3"/>
      <c r="E5" s="44"/>
      <c r="F5" s="44"/>
    </row>
    <row r="6" spans="1:7" ht="33.75" customHeight="1" ns2:dyDescent="0.25">
      <c r="A6" s="28" t="s">
        <v>57</v>
      </c>
      <c r="B6" s="29"/>
      <c r="C6" s="29"/>
      <c r="D6" s="29"/>
      <c r="E6" s="29"/>
      <c r="F6" s="29"/>
    </row>
    <row r="7" spans="1:7" ht="15" customHeight="1" ns2:dyDescent="0.25">
      <c r="A7" s="39" t="s">
        <v>54</v>
      </c>
      <c r="B7" s="39"/>
      <c r="C7" s="39"/>
      <c r="D7" s="39"/>
      <c r="E7" s="39"/>
      <c r="F7" s="39"/>
    </row>
    <row r="8" spans="1:7" ht="15" customHeight="1" ns2:dyDescent="0.25">
      <c r="A8" s="30" t="s">
        <v>55</v>
      </c>
      <c r="B8" s="31"/>
      <c r="C8" s="31"/>
      <c r="D8" s="31"/>
      <c r="E8" s="31"/>
      <c r="F8" s="31"/>
    </row>
    <row r="10" spans="1:7" s="2" customFormat="1" ht="42" customHeight="1" ns2:dyDescent="0.25">
      <c r="A10" s="4" t="s">
        <v>0</v>
      </c>
      <c r="B10" s="4" t="s">
        <v>1</v>
      </c>
      <c r="C10" s="5" t="s">
        <v>2</v>
      </c>
      <c r="D10" s="5" t="s">
        <v>28</v>
      </c>
      <c r="E10" s="5" t="s">
        <v>29</v>
      </c>
      <c r="F10" s="16" t="s">
        <v>30</v>
      </c>
    </row>
    <row r="11" spans="1:7" s="2" customFormat="1" ns2:dyDescent="0.25">
      <c r="A11" s="20" t="s">
        <v>3</v>
      </c>
      <c r="B11" s="20" t="s">
        <v>4</v>
      </c>
      <c r="C11" s="21" t="s">
        <v>5</v>
      </c>
      <c r="D11" s="21">
        <v>1</v>
      </c>
      <c r="E11" s="20">
        <v>2</v>
      </c>
      <c r="F11" s="22" t="s">
        <v>27</v>
      </c>
    </row>
    <row r="12" spans="1:7" s="2" customFormat="1" ns2:dyDescent="0.25">
      <c r="A12" s="4" t="s">
        <v>6</v>
      </c>
      <c r="B12" s="32" t="s">
        <v>26</v>
      </c>
      <c r="C12" s="33"/>
      <c r="D12" s="33"/>
      <c r="E12" s="33"/>
      <c r="F12" s="34"/>
    </row>
    <row r="13" spans="1:7" s="2" customFormat="1" ht="15" customHeight="1" ns2:dyDescent="0.25">
      <c r="A13" s="35">
        <v>1</v>
      </c>
      <c r="B13" s="37" t="s">
        <v>12</v>
      </c>
      <c r="C13" s="21" t="s">
        <v>16</v>
      </c>
      <c r="D13" s="11" t="s">
        <v>32</v>
      </c>
      <c r="E13" s="11" t="s">
        <v>37</v>
      </c>
      <c r="F13" s="13">
        <f>ROUND(IFERROR(VALUE(D13) / VALUE(E13), 0) * 100, 2)</f>
        <v>0</v>
      </c>
    </row>
    <row r="14" spans="1:7" s="2" customFormat="1" ht="15" customHeight="1" ns2:dyDescent="0.25">
      <c r="A14" s="36"/>
      <c r="B14" s="38"/>
      <c r="C14" s="21" t="s">
        <v>17</v>
      </c>
      <c r="D14" s="11" t="s">
        <v>33</v>
      </c>
      <c r="E14" s="11" t="s">
        <v>38</v>
      </c>
      <c r="F14" s="13">
        <f t="shared" ref="F14:F16" si="0">ROUND(IFERROR(VALUE(D14) / VALUE(E14), 0) * 100, 2)</f>
        <v>0</v>
      </c>
    </row>
    <row r="15" spans="1:7" s="2" customFormat="1" ht="15" customHeight="1" ns2:dyDescent="0.25">
      <c r="A15" s="19">
        <v>2</v>
      </c>
      <c r="B15" s="18" t="s">
        <v>25</v>
      </c>
      <c r="C15" s="21" t="s">
        <v>17</v>
      </c>
      <c r="D15" s="11" t="s">
        <v>34</v>
      </c>
      <c r="E15" s="11" t="s">
        <v>39</v>
      </c>
      <c r="F15" s="13">
        <f t="shared" si="0"/>
        <v>0</v>
      </c>
    </row>
    <row r="16" spans="1:7" s="2" customFormat="1" ht="15" customHeight="1" ns2:dyDescent="0.25">
      <c r="A16" s="19">
        <v>3</v>
      </c>
      <c r="B16" s="18" t="s">
        <v>14</v>
      </c>
      <c r="C16" s="21" t="s">
        <v>17</v>
      </c>
      <c r="D16" s="11" t="s">
        <v>35</v>
      </c>
      <c r="E16" s="11" t="s">
        <v>40</v>
      </c>
      <c r="F16" s="13">
        <f t="shared" si="0"/>
        <v>0</v>
      </c>
    </row>
    <row r="17" spans="1:6" ns2:dyDescent="0.25">
      <c r="A17" s="4" t="s">
        <v>15</v>
      </c>
      <c r="B17" s="27" t="s">
        <v>24</v>
      </c>
      <c r="C17" s="27"/>
      <c r="D17" s="27"/>
      <c r="E17" s="27"/>
      <c r="F17" s="27"/>
    </row>
    <row r="18" spans="1:6" ht="16.5" customHeight="1" ns2:dyDescent="0.25">
      <c r="A18" s="4"/>
      <c r="B18" s="6" t="s">
        <v>7</v>
      </c>
      <c r="C18" s="7" t="s">
        <v>17</v>
      </c>
      <c r="D18" s="13" t="e">
        <f>SUMPRODUCT(VALUE(D19:D21))</f>
        <v>#VALUE!</v>
      </c>
      <c r="E18" s="13" t="e">
        <f>SUMPRODUCT(VALUE(E19:E21))</f>
        <v>#VALUE!</v>
      </c>
      <c r="F18" s="13">
        <f>ROUND(IFERROR(VALUE(D18) / VALUE(E18), 0) * 100, 2)</f>
        <v>0</v>
      </c>
    </row>
    <row r="19" spans="1:6" ht="15" customHeight="1" ns2:dyDescent="0.25">
      <c r="A19" s="7">
        <v>1</v>
      </c>
      <c r="B19" s="8" t="s">
        <v>8</v>
      </c>
      <c r="C19" s="7" t="s">
        <v>17</v>
      </c>
      <c r="D19" s="11" t="s">
        <v>36</v>
      </c>
      <c r="E19" s="11" t="s">
        <v>41</v>
      </c>
      <c r="F19" s="13">
        <f>ROUND(IFERROR(VALUE(D19) / VALUE(E19), 0) * 100, 2)</f>
        <v>0</v>
      </c>
    </row>
    <row r="20" spans="1:6" ht="15.75" customHeight="1" ns2:dyDescent="0.25">
      <c r="A20" s="7">
        <v>2</v>
      </c>
      <c r="B20" s="8" t="s">
        <v>9</v>
      </c>
      <c r="C20" s="7" t="s">
        <v>17</v>
      </c>
      <c r="D20" s="11" t="s">
        <v>42</v>
      </c>
      <c r="E20" s="11" t="s">
        <v>43</v>
      </c>
      <c r="F20" s="13">
        <f t="shared" ref="F20" si="1">ROUND(IFERROR(VALUE(D20) / VALUE(E20), 0) * 100, 2)</f>
        <v>0</v>
      </c>
    </row>
    <row r="21" spans="1:6" ht="15" customHeight="1" ns2:dyDescent="0.25">
      <c r="A21" s="7">
        <v>3</v>
      </c>
      <c r="B21" s="8" t="s">
        <v>10</v>
      </c>
      <c r="C21" s="7" t="s">
        <v>17</v>
      </c>
      <c r="D21" s="11" t="s">
        <v>44</v>
      </c>
      <c r="E21" s="11" t="s">
        <v>45</v>
      </c>
      <c r="F21" s="13">
        <f>ROUND(IFERROR(VALUE(D21) / VALUE(E21), 0) * 100, 2)</f>
        <v>0</v>
      </c>
    </row>
    <row r="22" spans="1:6" ns2:dyDescent="0.25">
      <c r="A22" s="7"/>
      <c r="B22" s="8" t="s">
        <v>11</v>
      </c>
      <c r="C22" s="7"/>
      <c r="D22" s="9"/>
      <c r="E22" s="9"/>
      <c r="F22" s="13"/>
    </row>
    <row r="23" spans="1:6" ht="15.75" customHeight="1" ns2:dyDescent="0.25">
      <c r="A23" s="26">
        <v>1</v>
      </c>
      <c r="B23" s="25" t="s">
        <v>12</v>
      </c>
      <c r="C23" s="7" t="s">
        <v>16</v>
      </c>
      <c r="D23" s="11" t="s">
        <v>46</v>
      </c>
      <c r="E23" s="11" t="s">
        <v>47</v>
      </c>
      <c r="F23" s="13">
        <f>ROUND(IFERROR(VALUE(D23) / VALUE(E23), 0) * 100, 2)</f>
        <v>0</v>
      </c>
    </row>
    <row r="24" spans="1:6" ht="13.5" customHeight="1" ns2:dyDescent="0.25">
      <c r="A24" s="26"/>
      <c r="B24" s="25"/>
      <c r="C24" s="7" t="s">
        <v>17</v>
      </c>
      <c r="D24" s="11" t="s">
        <v>48</v>
      </c>
      <c r="E24" s="11" t="s">
        <v>49</v>
      </c>
      <c r="F24" s="13">
        <f t="shared" ref="F24" si="2">ROUND(IFERROR(VALUE(D24) / VALUE(E24), 0) * 100, 2)</f>
        <v>0</v>
      </c>
    </row>
    <row r="25" spans="1:6" ht="15" customHeight="1" ns2:dyDescent="0.25">
      <c r="A25" s="7">
        <v>2</v>
      </c>
      <c r="B25" s="8" t="s">
        <v>13</v>
      </c>
      <c r="C25" s="7" t="s">
        <v>17</v>
      </c>
      <c r="D25" s="11" t="s">
        <v>50</v>
      </c>
      <c r="E25" s="11" t="s">
        <v>51</v>
      </c>
      <c r="F25" s="13">
        <f>ROUND(IFERROR(VALUE(D25) / VALUE(E25), 0) * 100, 2)</f>
        <v>0</v>
      </c>
    </row>
    <row r="26" spans="1:6" ht="15.75" customHeight="1" ns2:dyDescent="0.25">
      <c r="A26" s="7">
        <v>3</v>
      </c>
      <c r="B26" s="8" t="s">
        <v>14</v>
      </c>
      <c r="C26" s="7" t="s">
        <v>17</v>
      </c>
      <c r="D26" s="11" t="s">
        <v>52</v>
      </c>
      <c r="E26" s="11" t="s">
        <v>53</v>
      </c>
      <c r="F26" s="13">
        <f>ROUND(IFERROR(VALUE(D26) / VALUE(E26), 0) * 100, 2)</f>
        <v>0</v>
      </c>
    </row>
    <row r="28" spans="1:6" ns2:dyDescent="0.25">
      <c r="B28" s="40" t="s">
        <v>21</v>
      </c>
      <c r="C28" s="40"/>
      <c r="E28" s="42" t="s">
        <v>31</v>
      </c>
      <c r="F28" s="42"/>
    </row>
    <row r="29" spans="1:6" ns2:dyDescent="0.25">
      <c r="B29" s="41" t="s">
        <v>22</v>
      </c>
      <c r="C29" s="41"/>
      <c r="E29" s="43" t="s">
        <v>23</v>
      </c>
      <c r="F29" s="43"/>
    </row>
    <row r="30" spans="1:6" ns2:dyDescent="0.25">
      <c r="B30" s="41"/>
      <c r="C30" s="41"/>
      <c r="E30" s="43"/>
      <c r="F30" s="43"/>
    </row>
  </sheetData>
  <mergeCells count="15">
    <mergeCell ref="B28:C28"/>
    <mergeCell ref="B29:C30"/>
    <mergeCell ref="E28:F28"/>
    <mergeCell ref="E29:F30"/>
    <mergeCell ref="E4:F5"/>
    <mergeCell ref="A1:C1"/>
    <mergeCell ref="B23:B24"/>
    <mergeCell ref="A23:A24"/>
    <mergeCell ref="B17:F17"/>
    <mergeCell ref="A6:F6"/>
    <mergeCell ref="A8:F8"/>
    <mergeCell ref="B12:F12"/>
    <mergeCell ref="A13:A14"/>
    <mergeCell ref="B13:B14"/>
    <mergeCell ref="A7:F7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2025-11-24T02:16:51Z</dcterms:modified>
</cp:coreProperties>
</file>