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1" i="1" l="1"/>
  <c r="G39" i="1" s="1"/>
  <c r="F41" i="1"/>
  <c r="F39" i="1" s="1"/>
  <c r="E41" i="1"/>
  <c r="E39" i="1" s="1"/>
  <c r="G18" i="1" l="1"/>
  <c r="G17" i="1"/>
  <c r="G16" i="1"/>
  <c r="G15" i="1"/>
  <c r="F15" i="1"/>
  <c r="E48" i="1" l="1"/>
  <c r="I48" i="1"/>
  <c r="H48" i="1"/>
  <c r="G48" i="1"/>
  <c r="F48" i="1"/>
  <c r="I47" i="1"/>
  <c r="H47" i="1"/>
  <c r="G14" i="1" l="1"/>
  <c r="F18" i="1"/>
  <c r="E18" i="1"/>
  <c r="F17" i="1"/>
  <c r="E17" i="1"/>
  <c r="F16" i="1"/>
  <c r="E16" i="1"/>
  <c r="E15" i="1"/>
  <c r="E20" i="1"/>
  <c r="F20" i="1"/>
  <c r="H26" i="1" l="1"/>
  <c r="I43" i="1"/>
  <c r="H43" i="1"/>
  <c r="H23" i="1"/>
  <c r="I23" i="1"/>
  <c r="E21" i="1" l="1"/>
  <c r="F21" i="1" l="1"/>
  <c r="H21" i="1" s="1"/>
  <c r="G21" i="1"/>
  <c r="H20" i="1"/>
  <c r="G20" i="1"/>
  <c r="F32" i="1"/>
  <c r="H32" i="1" s="1"/>
  <c r="G32" i="1"/>
  <c r="E32" i="1"/>
  <c r="G28" i="1"/>
  <c r="F28" i="1"/>
  <c r="H28" i="1" s="1"/>
  <c r="E28" i="1"/>
  <c r="I39" i="1"/>
  <c r="I40" i="1"/>
  <c r="I41" i="1"/>
  <c r="I42" i="1"/>
  <c r="I44" i="1"/>
  <c r="I45" i="1"/>
  <c r="I46" i="1"/>
  <c r="I49" i="1"/>
  <c r="I50" i="1"/>
  <c r="I51" i="1"/>
  <c r="I52" i="1"/>
  <c r="I38" i="1"/>
  <c r="I22" i="1"/>
  <c r="I24" i="1"/>
  <c r="I25" i="1"/>
  <c r="I26" i="1"/>
  <c r="I27" i="1"/>
  <c r="I29" i="1"/>
  <c r="I30" i="1"/>
  <c r="I31" i="1"/>
  <c r="I33" i="1"/>
  <c r="I34" i="1"/>
  <c r="I35" i="1"/>
  <c r="I36" i="1"/>
  <c r="I15" i="1"/>
  <c r="I16" i="1"/>
  <c r="I17" i="1"/>
  <c r="I18" i="1"/>
  <c r="H36" i="1"/>
  <c r="H38" i="1"/>
  <c r="H39" i="1"/>
  <c r="H40" i="1"/>
  <c r="H41" i="1"/>
  <c r="H42" i="1"/>
  <c r="H44" i="1"/>
  <c r="H45" i="1"/>
  <c r="H46" i="1"/>
  <c r="H49" i="1"/>
  <c r="H50" i="1"/>
  <c r="H51" i="1"/>
  <c r="H52" i="1"/>
  <c r="H22" i="1"/>
  <c r="H24" i="1"/>
  <c r="H25" i="1"/>
  <c r="H27" i="1"/>
  <c r="H29" i="1"/>
  <c r="H30" i="1"/>
  <c r="H31" i="1"/>
  <c r="H33" i="1"/>
  <c r="H34" i="1"/>
  <c r="H35" i="1"/>
  <c r="H15" i="1"/>
  <c r="H16" i="1"/>
  <c r="H17" i="1"/>
  <c r="H18" i="1"/>
  <c r="F14" i="1"/>
  <c r="E14" i="1"/>
  <c r="I14" i="1" l="1"/>
  <c r="H14" i="1"/>
  <c r="I21" i="1"/>
  <c r="I20" i="1"/>
  <c r="I32" i="1"/>
  <c r="I28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Tuha1:</t>
        </r>
        <r>
          <rPr>
            <sz val="9"/>
            <color indexed="81"/>
            <rFont val="Tahoma"/>
            <charset val="1"/>
          </rPr>
          <t xml:space="preserve">
jx:area(lastCell="K58")</t>
        </r>
      </text>
    </comment>
  </commentList>
</comments>
</file>

<file path=xl/sharedStrings.xml><?xml version="1.0" encoding="utf-8"?>
<sst xmlns="http://schemas.openxmlformats.org/spreadsheetml/2006/main" count="180" uniqueCount="140">
  <si>
    <t>Đơn vị báo cáo:</t>
  </si>
  <si>
    <t>Ngày nhận báo cáo:</t>
  </si>
  <si>
    <t>${fkDonViBcText}</t>
  </si>
  <si>
    <t>Đơn vị nhận báo cáo:</t>
  </si>
  <si>
    <t>Cục Hàng hải và Đường thủy Việt Nam</t>
  </si>
  <si>
    <t xml:space="preserve"> (Phòng Vận tải - An toàn và phương tiện)</t>
  </si>
  <si>
    <t>STT</t>
  </si>
  <si>
    <t>Chỉ tiêu</t>
  </si>
  <si>
    <t>Đơn vị tính</t>
  </si>
  <si>
    <t>Kế hoạch năm</t>
  </si>
  <si>
    <t>So với kế hoạch năm  (%)</t>
  </si>
  <si>
    <t>A</t>
  </si>
  <si>
    <t>B</t>
  </si>
  <si>
    <t>C</t>
  </si>
  <si>
    <t>I</t>
  </si>
  <si>
    <t>Hàng hóa thông qua cảng biển</t>
  </si>
  <si>
    <t>Tổng số</t>
  </si>
  <si>
    <t>Tấn</t>
  </si>
  <si>
    <t>Hàng xuất khẩu</t>
  </si>
  <si>
    <t>Hàng nhập khẩu</t>
  </si>
  <si>
    <t>Hàng nội địa</t>
  </si>
  <si>
    <t>Hàng quá cảnh Xếp dỡ</t>
  </si>
  <si>
    <t>Trong đó</t>
  </si>
  <si>
    <t>Container</t>
  </si>
  <si>
    <t>Teus</t>
  </si>
  <si>
    <t>Xuất khẩu</t>
  </si>
  <si>
    <t>Nhập khẩu</t>
  </si>
  <si>
    <t>Nội địa</t>
  </si>
  <si>
    <t>Hàng lỏng</t>
  </si>
  <si>
    <t>Nhâp khẩu</t>
  </si>
  <si>
    <t>Hàng khô, tổng hợp</t>
  </si>
  <si>
    <t>II</t>
  </si>
  <si>
    <t>Phân loại khối lượng hàng hóa thông qua cảng</t>
  </si>
  <si>
    <t>Hàng hóa thông qua bằng tàu biển</t>
  </si>
  <si>
    <t>Hàng hóa thông qua bằng PTTNĐ</t>
  </si>
  <si>
    <t>Hàng vận chuyển bằng PTTNĐ trừ PTTNĐ VR-SB</t>
  </si>
  <si>
    <t>Hàng vận chuyển bằng PTTNĐ đăng ký PTTNĐ VR-SB</t>
  </si>
  <si>
    <t>Chia theo tuyến</t>
  </si>
  <si>
    <t>Từ cảng biển - cảng biển</t>
  </si>
  <si>
    <t>Từ cảng biển - cảng thủy nội địa và ngược lại</t>
  </si>
  <si>
    <t>Lượt người</t>
  </si>
  <si>
    <t>Hàng quá cảnh không xếp dỡ</t>
  </si>
  <si>
    <t>III</t>
  </si>
  <si>
    <t>Hành khách thông qua bằng đội tàu biển VN</t>
  </si>
  <si>
    <t>Hành khách thông qua bằng đội tàu biển nước ngoài</t>
  </si>
  <si>
    <t>Hành khách thông qua bằng phương tiện thủy nội địa</t>
  </si>
  <si>
    <t>Hành khách tuyển từ bờ ra đảo</t>
  </si>
  <si>
    <t>So với năm trước (%)</t>
  </si>
  <si>
    <t>Thực hiện năm trước</t>
  </si>
  <si>
    <t>4= 2/3</t>
  </si>
  <si>
    <t>7=2/1</t>
  </si>
  <si>
    <t>${zobjComReport.containerXuatKhauTanKeHoachNam.asText()}</t>
  </si>
  <si>
    <t>${zobjComReport.containerXuatKhauTanThucHienNamBaoCao.asText()}</t>
  </si>
  <si>
    <t>${zobjComReport.containerXuatKhauTeusKeHoachNam.asText()}</t>
  </si>
  <si>
    <t>${zobjComReport.containerXuatKhauTeusThucHienNamBaoCao.asText()}</t>
  </si>
  <si>
    <t>${zobjComReport.containerNhapKhauTanKeHoachNam.asText()}</t>
  </si>
  <si>
    <t>${zobjComReport.containerNhapKhauTanThucHienNamBaoCao.asText()}</t>
  </si>
  <si>
    <t>${zobjComReport.containerNhapKhauTeusKeHoachNam.asText()}</t>
  </si>
  <si>
    <t>${zobjComReport.containerNhapKhauTeusThucHienNamBaoCao.asText()}</t>
  </si>
  <si>
    <t>${zobjComReport.containerNoiDiaTanKeHoachNam.asText()}</t>
  </si>
  <si>
    <t>${zobjComReport.containerNoiDiaTanThucHienNamBaoCao.asText()}</t>
  </si>
  <si>
    <t>${zobjComReport.containerNoiDiaTeusKeHoachNam.asText()}</t>
  </si>
  <si>
    <t>${zobjComReport.containerNoiDiaTeusThucHienNamBaoCao.asText()}</t>
  </si>
  <si>
    <t>${zobjComReport.hangLongXuatKhauKeHoachNam.asText()}</t>
  </si>
  <si>
    <t>${zobjComReport.hangLongXuatKhauThucHienNamBaoCao.asText()}</t>
  </si>
  <si>
    <t>${zobjComReport.hangLongNhapKhauKeHoachNam.asText()}</t>
  </si>
  <si>
    <t>${zobjComReport.hangLongNhapKhauThucHienNamBaoCao.asText()}</t>
  </si>
  <si>
    <t>${zobjComReport.hangLongNoiDiaKeHoachNam.asText()}</t>
  </si>
  <si>
    <t>${zobjComReport.hangLongNoiDiaThucHienNamBaoCao.asText()}</t>
  </si>
  <si>
    <t>${zobjComReport.hangKhoTongHopXuatKhauKeHoachNam.asText()}</t>
  </si>
  <si>
    <t>${zobjComReport.hangKhoTongHopXuatKhauThucHienNamBaoCao.asText()}</t>
  </si>
  <si>
    <t>${zobjComReport.hangKhoTongHopNhapKhauKeHoachNam.asText()}</t>
  </si>
  <si>
    <t>${zobjComReport.hangKhoTongHopNhapKhauThucHienNamBaoCao.asText()}</t>
  </si>
  <si>
    <t>${zobjComReport.hangKhoTongHopNoiDiaKeHoachNam.asText()}</t>
  </si>
  <si>
    <t>${zobjComReport.hangKhoTongHopNoiDiaThucHienNamBaoCao.asText()}</t>
  </si>
  <si>
    <t>${zobjComReport.hangQuaCanhXepDoKeHoachNam.asText()}</t>
  </si>
  <si>
    <t>${zobjComReport.hangHoaThongQuaBangTauBienKeHoachNam.asText()}</t>
  </si>
  <si>
    <t>${zobjComReport.hangHoaThongQuaBangTauBienThucHienNamBaoCao.asText()}</t>
  </si>
  <si>
    <t>${zobjComReport.hangVanChuyenBangPttndTruPttndVrSbKeHoachNam.asText()}</t>
  </si>
  <si>
    <t>${zobjComReport.hangVanChuyenBangPttndTruPttndVrSbThucHienNamBaoCao.asText()}</t>
  </si>
  <si>
    <t>${zobjComReport.hangVanChuyenBangPttndDangKyVrSbTuCbCtndVaNguocLaiKeHoachNam.asText()}</t>
  </si>
  <si>
    <t>${zobjComReport.hangKhuChuyenTaiBenPhaoKeHoachNam.asText()}</t>
  </si>
  <si>
    <t>${zobjComReport.hangKhuChuyenTaiBenPhaoThucHienNamBaoCao.asText()}</t>
  </si>
  <si>
    <t>${zobjComReport.hangQuaCanhKhongXepDoKeHoachNam.asText()}</t>
  </si>
  <si>
    <t>${zobjComReport.hangQuaCanhKhongXepDoThucHienNamBaoCao.asText()}</t>
  </si>
  <si>
    <t>${zobjComReport.hangHoaTuyenTuBoRaDaoKeHoachNam.asText()}</t>
  </si>
  <si>
    <t>${zobjComReport.hangHoaTuyenTuBoRaDaoThucHienNamBaoCao.asText()}</t>
  </si>
  <si>
    <t>${zobjComReport.hanhKhachThongQuaBangDoiTauBienVnKeHoachNam.asText()}</t>
  </si>
  <si>
    <t>${zobjComReport.hanhKhachThongQuaBangDoiTauBienVnThucHienNamBaoCao.asText()}</t>
  </si>
  <si>
    <t>${zobjComReport.hanhKhachThongQuaBangDoiTauBienNuocNgoaiKeHoachNam.asText()}</t>
  </si>
  <si>
    <t>${zobjComReport.hanhKhachThongQuaBangDoiTauBienNuocNgoaiThucHienNamBaoCao.asText()}</t>
  </si>
  <si>
    <t>${zobjComReport.hanhKhachThongQuaBangPttndKeHoachNam.asText()}</t>
  </si>
  <si>
    <t>${zobjComReport.hanhKhachThongQuaBangPttndThucHienNamBaoCao.asText()}</t>
  </si>
  <si>
    <t>${zobjComReport.hanhKhachTuyenTuBoRaDaoKeHoachNam.asText()}</t>
  </si>
  <si>
    <t>${zobjComReport.hanhKhachTuyenTuBoRaDaoThucHienNamBaoCao.asText()}</t>
  </si>
  <si>
    <t>${zobjDataDefault.containerXuatKhauTanThucHienNamTruoc.asText()}</t>
  </si>
  <si>
    <t>${zobjDataDefault.containerXuatKhauTeusThucHienNamTruoc.asText()}</t>
  </si>
  <si>
    <t>${zobjDataDefault.containerNhapKhauTanThucHienNamTruoc.asText()}</t>
  </si>
  <si>
    <t>${zobjDataDefault.containerNhapKhauTeusThucHienNamTruoc.asText()}</t>
  </si>
  <si>
    <t>${zobjDataDefault.containerNoiDiaTanThucHienNamTruoc.asText()}</t>
  </si>
  <si>
    <t>${zobjDataDefault.containerNoiDiaTeusThucHienNamTruoc.asText()}</t>
  </si>
  <si>
    <t>${zobjDataDefault.hangLongXuatKhauThucHienNamTruoc.asText()}</t>
  </si>
  <si>
    <t>${zobjDataDefault.hangLongNhapKhauThucHienNamTruoc.asText()}</t>
  </si>
  <si>
    <t>${zobjDataDefault.hangLongNoiDiaThucHienNamTruoc.asText()}</t>
  </si>
  <si>
    <t>${zobjDataDefault.hangKhoTongHopXuatKhauThucHienNamTruoc.asText()}</t>
  </si>
  <si>
    <t>${zobjDataDefault.hangKhoTongHopNhapKhauThucHienNamTruoc.asText()}</t>
  </si>
  <si>
    <t>${zobjDataDefault.hangKhoTongHopNoiDiaThucHienNamTruoc.asText()}</t>
  </si>
  <si>
    <t>${zobjDataDefault.hangHoaThongQuaBangTauBienThucHienNamTruoc.asText()}</t>
  </si>
  <si>
    <t>${zobjDataDefault.hangVanChuyenBangPttndTruPttndVrSbThucHienNamTruoc.asText()}</t>
  </si>
  <si>
    <t>${zobjDataDefault.hangVanChuyenBangPttndDangKyVrSbTuCbCbKeThucHienNamTruoc.asText()}</t>
  </si>
  <si>
    <t>${zobjDataDefault.hangVanChuyenBangPttndDangKyVrSbTuCbCtndVaNguocLaiThucHienNamTruoc.asText()}</t>
  </si>
  <si>
    <t>${zobjDataDefault.hangKhuChuyenTaiBenPhaoThucHienNamTruoc.asText()}</t>
  </si>
  <si>
    <t>${zobjDataDefault.hangQuaCanhKhongXepDoThucHienNamTruoc.asText()}</t>
  </si>
  <si>
    <t>${zobjDataDefault.hangHoaTuyenTuBoRaDaoThucHienNamTruoc.asText()}</t>
  </si>
  <si>
    <t>${zobjDataDefault.hanhKhachThongQuaBangDoiTauBienVnThucHienNamTruoc.asText()}</t>
  </si>
  <si>
    <t>${zobjDataDefault.hanhKhachThongQuaBangDoiTauBienNuocNgoaiThucHienNamTruoc.asText()}</t>
  </si>
  <si>
    <t>${zobjDataDefault.hanhKhachThongQuaBangPttndThucHienNamTruoc.asText()}</t>
  </si>
  <si>
    <t>${zobjDataDefault.hanhKhachTuyenTuBoRaDaoThucHienNamTruoc.asText()}</t>
  </si>
  <si>
    <t>Thực hiện năm báo cáo</t>
  </si>
  <si>
    <t>KHỐI LƯỢNG HÀNG HÓA, HÀNH KHÁCH THÔNG QUA CẢNG BIỂN THEO NĂM</t>
  </si>
  <si>
    <t>Năm ${bcMaText}</t>
  </si>
  <si>
    <t>Ngày 01 tháng 3 năm sau</t>
  </si>
  <si>
    <t>Hàng hóa tuyến từ bờ ra đảo</t>
  </si>
  <si>
    <t>${zobjComReport.hangVanChuyenBangPttndDangKyVrSbTuCbCtndVaNguocLaiThucHienNamBaoCao.asText()}</t>
  </si>
  <si>
    <t>${zobjComReport.hangQuaCanhXepDoThucHienNamBaoCao.asText()}</t>
  </si>
  <si>
    <t>${zobjComReport.hangVanChuyenBangPttndDangKyVrSbTuCbCbKeHoachNam.asText()}</t>
  </si>
  <si>
    <t>${zobjComReport.hangVanChuyenBangPttndDangKyVrSbTuCbCbThucHienNamBaoCao.asText()}</t>
  </si>
  <si>
    <t>${zobjDataDefault.hangQuaCanhXepDoKThucHienNamTruoc.asText()}</t>
  </si>
  <si>
    <t>Tàu thuyền có trọng tải từ 200 tấn trở xuống</t>
  </si>
  <si>
    <t>Khu neo đậu, chuyển tải</t>
  </si>
  <si>
    <t>Hành khách (3.1 + 3.2 + 3.3)</t>
  </si>
  <si>
    <t>IV</t>
  </si>
  <si>
    <t>Biểu số 16-N</t>
  </si>
  <si>
    <t>Người lập báo cáo</t>
  </si>
  <si>
    <t>(Ký, ghi rõ họ tên)</t>
  </si>
  <si>
    <t>…, ngày … tháng … năm</t>
  </si>
  <si>
    <t>(Thủ trưởng đơn vị ký, đóng dấu)</t>
  </si>
  <si>
    <t>${zobjComReport.khuNeoDauChuyenTaiKeHoachNam.asText()}</t>
  </si>
  <si>
    <t>${zobjComReport.khuNeoDauChuyenTaiThucHienNamBaoCao.asText()}</t>
  </si>
  <si>
    <t>${zobjDataDefault.khuNeoDauChuyenTaiThucHienNamTruoc.asText()}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</si>
</sst>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top"/>
    </xf>
    <xf numFmtId="0" fontId="2" fillId="0" borderId="12" xfId="0" applyFont="1" applyBorder="1" applyAlignment="1"/>
    <xf numFmtId="0" fontId="2" fillId="0" borderId="0" xfId="0" applyFont="1" applyAlignment="1">
      <alignment horizontal="left" vertical="top"/>
    </xf>
    <xf numFmtId="0" fontId="2" fillId="0" borderId="4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M58"/>
  <sheetViews>
    <sheetView tabSelected="1" zoomScaleNormal="100" zoomScaleSheetLayoutView="115" workbookViewId="0"/>
  </sheetViews>
  <sheetFormatPr defaultRowHeight="12.75" ns2:dyDescent="0.2"/>
  <cols>
    <col min="1" max="1" width="9.140625" style="2"/>
    <col min="2" max="2" width="8.42578125" style="2" customWidth="1"/>
    <col min="3" max="3" width="20.140625" style="2" customWidth="1"/>
    <col min="4" max="4" width="6.140625" style="2" customWidth="1"/>
    <col min="5" max="5" width="17.140625" style="2" customWidth="1"/>
    <col min="6" max="6" width="16" style="2" customWidth="1"/>
    <col min="7" max="7" width="17" style="2" customWidth="1"/>
    <col min="8" max="8" width="12.85546875" style="2" customWidth="1"/>
    <col min="9" max="9" width="13.28515625" style="2" customWidth="1"/>
    <col min="10" max="10" width="11" style="2" customWidth="1"/>
    <col min="11" max="16384" width="9.140625" style="2"/>
  </cols>
  <sheetData>
    <row r="1" spans="1:13" ns2:dyDescent="0.2">
      <c r="A1" s="1" t="s">
        <v>132</v>
      </c>
      <c r="F1" s="1" t="s">
        <v>0</v>
      </c>
    </row>
    <row r="2" spans="1:13" ns2:dyDescent="0.2">
      <c r="A2" s="2" t="s">
        <v>1</v>
      </c>
      <c r="F2" s="12" t="s">
        <v>2</v>
      </c>
    </row>
    <row r="3" spans="1:13" ns2:dyDescent="0.2">
      <c r="A3" s="2" t="s">
        <v>121</v>
      </c>
      <c r="F3" s="1" t="s">
        <v>3</v>
      </c>
    </row>
    <row r="4" spans="1:13" ns2:dyDescent="0.2">
      <c r="F4" s="3" t="s">
        <v>4</v>
      </c>
    </row>
    <row r="5" spans="1:13" ns2:dyDescent="0.2">
      <c r="F5" s="2" t="s">
        <v>5</v>
      </c>
    </row>
    <row r="7" spans="1:13" ht="15.75" ns2:dyDescent="0.25">
      <c r="A7" s="34" t="s">
        <v>119</v>
      </c>
      <c r="B7" s="34"/>
      <c r="C7" s="34"/>
      <c r="D7" s="34"/>
      <c r="E7" s="34"/>
      <c r="F7" s="34"/>
      <c r="G7" s="34"/>
      <c r="H7" s="34"/>
      <c r="I7" s="34"/>
    </row>
    <row r="8" spans="1:13" ht="15.75" ns2:dyDescent="0.25">
      <c r="C8" s="34" t="s">
        <v>120</v>
      </c>
      <c r="D8" s="34"/>
      <c r="E8" s="34"/>
      <c r="F8" s="34"/>
      <c r="G8" s="34"/>
      <c r="H8" s="34"/>
    </row>
    <row r="10" spans="1:13" ns2:dyDescent="0.2">
      <c r="A10" s="35" t="s">
        <v>6</v>
      </c>
      <c r="B10" s="37" t="s">
        <v>7</v>
      </c>
      <c r="C10" s="38"/>
      <c r="D10" s="35" t="s">
        <v>8</v>
      </c>
      <c r="E10" s="35" t="s">
        <v>9</v>
      </c>
      <c r="F10" s="35" t="s">
        <v>118</v>
      </c>
      <c r="G10" s="35" t="s">
        <v>48</v>
      </c>
      <c r="H10" s="35" t="s">
        <v>47</v>
      </c>
      <c r="I10" s="35" t="s">
        <v>10</v>
      </c>
    </row>
    <row r="11" spans="1:13" ns2:dyDescent="0.2">
      <c r="A11" s="36"/>
      <c r="B11" s="39"/>
      <c r="C11" s="40"/>
      <c r="D11" s="36"/>
      <c r="E11" s="36"/>
      <c r="F11" s="36"/>
      <c r="G11" s="36"/>
      <c r="H11" s="36"/>
      <c r="I11" s="36"/>
    </row>
    <row r="12" spans="1:13" ns2:dyDescent="0.2">
      <c r="A12" s="4" t="s">
        <v>11</v>
      </c>
      <c r="B12" s="30" t="s">
        <v>12</v>
      </c>
      <c r="C12" s="31"/>
      <c r="D12" s="4" t="s">
        <v>13</v>
      </c>
      <c r="E12" s="4">
        <v>1</v>
      </c>
      <c r="F12" s="4">
        <v>2</v>
      </c>
      <c r="G12" s="4">
        <v>3</v>
      </c>
      <c r="H12" s="4" t="s">
        <v>49</v>
      </c>
      <c r="I12" s="4" t="s">
        <v>50</v>
      </c>
    </row>
    <row r="13" spans="1:13" ht="15" customHeight="1" ns2:dyDescent="0.2">
      <c r="A13" s="5" t="s">
        <v>14</v>
      </c>
      <c r="B13" s="16" t="s">
        <v>15</v>
      </c>
      <c r="C13" s="17"/>
      <c r="D13" s="17"/>
      <c r="E13" s="17"/>
      <c r="F13" s="17"/>
      <c r="G13" s="17"/>
      <c r="H13" s="17"/>
      <c r="I13" s="18"/>
    </row>
    <row r="14" spans="1:13" ht="15.75" customHeight="1" ns2:dyDescent="0.2">
      <c r="A14" s="4"/>
      <c r="B14" s="19" t="s">
        <v>16</v>
      </c>
      <c r="C14" s="20"/>
      <c r="D14" s="6" t="s">
        <v>17</v>
      </c>
      <c r="E14" s="13" t="e">
        <f>SUMPRODUCT(VALUE(E15:E18))</f>
        <v>#VALUE!</v>
      </c>
      <c r="F14" s="13" t="e">
        <f t="shared" ref="F14" si="0">SUMPRODUCT(VALUE(F15:F18))</f>
        <v>#VALUE!</v>
      </c>
      <c r="G14" s="13" t="e">
        <f>SUMPRODUCT(VALUE(G15:G18))</f>
        <v>#VALUE!</v>
      </c>
      <c r="H14" s="13">
        <f>ROUND(IFERROR(VALUE(F14) / VALUE(G14), 0) * 100, 2)</f>
        <v>0</v>
      </c>
      <c r="I14" s="13">
        <f>ROUND(IFERROR(VALUE(F14) / VALUE(E14), 0) * 100, 2)</f>
        <v>0</v>
      </c>
      <c r="M14" s="14"/>
    </row>
    <row r="15" spans="1:13" ht="14.25" customHeight="1" ns2:dyDescent="0.2">
      <c r="A15" s="4"/>
      <c r="B15" s="19" t="s">
        <v>18</v>
      </c>
      <c r="C15" s="20"/>
      <c r="D15" s="6" t="s">
        <v>17</v>
      </c>
      <c r="E15" s="13" t="e">
        <f>VALUE(E22) + VALUE(E29) + VALUE(E33)</f>
        <v>#VALUE!</v>
      </c>
      <c r="F15" s="13" t="e">
        <f>VALUE(F22) + VALUE(F29) + VALUE(F33)</f>
        <v>#VALUE!</v>
      </c>
      <c r="G15" s="13" t="e">
        <f>VALUE(G22) + VALUE(G29) + VALUE(G33)</f>
        <v>#VALUE!</v>
      </c>
      <c r="H15" s="13">
        <f t="shared" ref="H15:H18" si="1">ROUND(IFERROR(VALUE(F15) / VALUE(G15), 0) * 100, 2)</f>
        <v>0</v>
      </c>
      <c r="I15" s="13">
        <f t="shared" ref="I15:I18" si="2">ROUND(IFERROR(VALUE(F15) / VALUE(E15), 0) * 100, 2)</f>
        <v>0</v>
      </c>
      <c r="M15" s="14"/>
    </row>
    <row r="16" spans="1:13" ht="13.5" customHeight="1" ns2:dyDescent="0.2">
      <c r="A16" s="4"/>
      <c r="B16" s="19" t="s">
        <v>19</v>
      </c>
      <c r="C16" s="20"/>
      <c r="D16" s="6" t="s">
        <v>17</v>
      </c>
      <c r="E16" s="13" t="e">
        <f>VALUE(E24) + VALUE(E30)+VALUE(E34)</f>
        <v>#VALUE!</v>
      </c>
      <c r="F16" s="13" t="e">
        <f>VALUE(F24) + VALUE(F30)+VALUE(F34)</f>
        <v>#VALUE!</v>
      </c>
      <c r="G16" s="13" t="e">
        <f>VALUE(G24) + VALUE(G30)+VALUE(G34)</f>
        <v>#VALUE!</v>
      </c>
      <c r="H16" s="13">
        <f t="shared" si="1"/>
        <v>0</v>
      </c>
      <c r="I16" s="13">
        <f t="shared" si="2"/>
        <v>0</v>
      </c>
      <c r="M16" s="14"/>
    </row>
    <row r="17" spans="1:13" ht="14.25" customHeight="1" ns2:dyDescent="0.2">
      <c r="A17" s="4"/>
      <c r="B17" s="19" t="s">
        <v>20</v>
      </c>
      <c r="C17" s="20"/>
      <c r="D17" s="6" t="s">
        <v>17</v>
      </c>
      <c r="E17" s="13" t="e">
        <f>VALUE(E26) + VALUE(E31)+VALUE(E35)</f>
        <v>#VALUE!</v>
      </c>
      <c r="F17" s="13" t="e">
        <f>VALUE(F26) + VALUE(F31)+VALUE(F35)</f>
        <v>#VALUE!</v>
      </c>
      <c r="G17" s="13" t="e">
        <f>VALUE(G26) + VALUE(G31)+VALUE(G35)</f>
        <v>#VALUE!</v>
      </c>
      <c r="H17" s="13">
        <f t="shared" si="1"/>
        <v>0</v>
      </c>
      <c r="I17" s="13">
        <f t="shared" si="2"/>
        <v>0</v>
      </c>
      <c r="M17" s="14"/>
    </row>
    <row r="18" spans="1:13" ht="15" customHeight="1" ns2:dyDescent="0.2">
      <c r="A18" s="4"/>
      <c r="B18" s="19" t="s">
        <v>21</v>
      </c>
      <c r="C18" s="20"/>
      <c r="D18" s="6" t="s">
        <v>17</v>
      </c>
      <c r="E18" s="13" t="e">
        <f>VALUE(E36)</f>
        <v>#VALUE!</v>
      </c>
      <c r="F18" s="13" t="e">
        <f>VALUE(F36)</f>
        <v>#VALUE!</v>
      </c>
      <c r="G18" s="13" t="e">
        <f>VALUE(G36)</f>
        <v>#VALUE!</v>
      </c>
      <c r="H18" s="13">
        <f t="shared" si="1"/>
        <v>0</v>
      </c>
      <c r="I18" s="13">
        <f t="shared" si="2"/>
        <v>0</v>
      </c>
    </row>
    <row r="19" spans="1:13" ht="13.5" ns2:dyDescent="0.2">
      <c r="A19" s="4"/>
      <c r="B19" s="32" t="s">
        <v>22</v>
      </c>
      <c r="C19" s="33"/>
      <c r="D19" s="6"/>
      <c r="E19" s="7"/>
      <c r="F19" s="7"/>
      <c r="G19" s="7"/>
      <c r="H19" s="13"/>
      <c r="I19" s="13"/>
    </row>
    <row r="20" spans="1:13" ht="15.75" customHeight="1" ns2:dyDescent="0.2">
      <c r="A20" s="5">
        <v>1</v>
      </c>
      <c r="B20" s="16" t="s">
        <v>23</v>
      </c>
      <c r="C20" s="18"/>
      <c r="D20" s="6" t="s">
        <v>17</v>
      </c>
      <c r="E20" s="13" t="e">
        <f>VALUE(E22) + VALUE(E24) + VALUE(E26)</f>
        <v>#VALUE!</v>
      </c>
      <c r="F20" s="13" t="e">
        <f t="shared" ref="F20:G20" si="3">VALUE(F22) + VALUE(F24) + VALUE(F26)</f>
        <v>#VALUE!</v>
      </c>
      <c r="G20" s="13" t="e">
        <f t="shared" si="3"/>
        <v>#VALUE!</v>
      </c>
      <c r="H20" s="13">
        <f>ROUND(IFERROR(VALUE(F20) / VALUE(G20), 0) * 100, 2)</f>
        <v>0</v>
      </c>
      <c r="I20" s="13">
        <f>ROUND(IFERROR(VALUE(F20) / VALUE(E20), 0) * 100, 2)</f>
        <v>0</v>
      </c>
    </row>
    <row r="21" spans="1:13" ht="14.25" customHeight="1" ns2:dyDescent="0.2">
      <c r="A21" s="4"/>
      <c r="B21" s="28"/>
      <c r="C21" s="29"/>
      <c r="D21" s="6" t="s">
        <v>24</v>
      </c>
      <c r="E21" s="13" t="e">
        <f>VALUE(E23) + VALUE(E25) + VALUE(E27)</f>
        <v>#VALUE!</v>
      </c>
      <c r="F21" s="13" t="e">
        <f t="shared" ref="F21:G21" si="4">VALUE(F23) + VALUE(F25) + VALUE(F27)</f>
        <v>#VALUE!</v>
      </c>
      <c r="G21" s="13" t="e">
        <f t="shared" si="4"/>
        <v>#VALUE!</v>
      </c>
      <c r="H21" s="13">
        <f t="shared" ref="H21:H35" si="5">ROUND(IFERROR(VALUE(F21) / VALUE(G21), 0) * 100, 2)</f>
        <v>0</v>
      </c>
      <c r="I21" s="13">
        <f t="shared" ref="I21:I36" si="6">ROUND(IFERROR(VALUE(F21) / VALUE(E21), 0) * 100, 2)</f>
        <v>0</v>
      </c>
    </row>
    <row r="22" spans="1:13" ht="15" customHeight="1" ns2:dyDescent="0.2">
      <c r="A22" s="4"/>
      <c r="B22" s="19" t="s">
        <v>25</v>
      </c>
      <c r="C22" s="20"/>
      <c r="D22" s="6" t="s">
        <v>17</v>
      </c>
      <c r="E22" s="13" t="s">
        <v>51</v>
      </c>
      <c r="F22" s="13" t="s">
        <v>52</v>
      </c>
      <c r="G22" s="13" t="s">
        <v>95</v>
      </c>
      <c r="H22" s="13">
        <f t="shared" si="5"/>
        <v>0</v>
      </c>
      <c r="I22" s="13">
        <f t="shared" si="6"/>
        <v>0</v>
      </c>
    </row>
    <row r="23" spans="1:13" ht="13.5" customHeight="1" ns2:dyDescent="0.2">
      <c r="A23" s="4"/>
      <c r="B23" s="28"/>
      <c r="C23" s="29"/>
      <c r="D23" s="6" t="s">
        <v>24</v>
      </c>
      <c r="E23" s="13" t="s">
        <v>53</v>
      </c>
      <c r="F23" s="13" t="s">
        <v>54</v>
      </c>
      <c r="G23" s="13" t="s">
        <v>96</v>
      </c>
      <c r="H23" s="13">
        <f>ROUND(IFERROR(VALUE(F23) / VALUE(G23), 0) * 100, 2)</f>
        <v>0</v>
      </c>
      <c r="I23" s="13">
        <f>ROUND(IFERROR(VALUE(F23) / VALUE(E23), 0) * 100, 2)</f>
        <v>0</v>
      </c>
    </row>
    <row r="24" spans="1:13" ht="18" customHeight="1" ns2:dyDescent="0.2">
      <c r="A24" s="4"/>
      <c r="B24" s="19" t="s">
        <v>26</v>
      </c>
      <c r="C24" s="20"/>
      <c r="D24" s="6" t="s">
        <v>17</v>
      </c>
      <c r="E24" s="13" t="s">
        <v>55</v>
      </c>
      <c r="F24" s="13" t="s">
        <v>56</v>
      </c>
      <c r="G24" s="13" t="s">
        <v>97</v>
      </c>
      <c r="H24" s="13">
        <f t="shared" si="5"/>
        <v>0</v>
      </c>
      <c r="I24" s="13">
        <f t="shared" si="6"/>
        <v>0</v>
      </c>
    </row>
    <row r="25" spans="1:13" ht="15.75" customHeight="1" ns2:dyDescent="0.2">
      <c r="A25" s="4"/>
      <c r="B25" s="28"/>
      <c r="C25" s="29"/>
      <c r="D25" s="6" t="s">
        <v>24</v>
      </c>
      <c r="E25" s="13" t="s">
        <v>57</v>
      </c>
      <c r="F25" s="13" t="s">
        <v>58</v>
      </c>
      <c r="G25" s="13" t="s">
        <v>98</v>
      </c>
      <c r="H25" s="13">
        <f t="shared" si="5"/>
        <v>0</v>
      </c>
      <c r="I25" s="13">
        <f t="shared" si="6"/>
        <v>0</v>
      </c>
    </row>
    <row r="26" spans="1:13" ht="15" customHeight="1" ns2:dyDescent="0.2">
      <c r="A26" s="4"/>
      <c r="B26" s="19" t="s">
        <v>27</v>
      </c>
      <c r="C26" s="20"/>
      <c r="D26" s="6" t="s">
        <v>17</v>
      </c>
      <c r="E26" s="13" t="s">
        <v>59</v>
      </c>
      <c r="F26" s="13" t="s">
        <v>60</v>
      </c>
      <c r="G26" s="13" t="s">
        <v>99</v>
      </c>
      <c r="H26" s="13">
        <f>ROUND(IFERROR(VALUE(F26) / VALUE(G26), 0) * 100, 2)</f>
        <v>0</v>
      </c>
      <c r="I26" s="13">
        <f t="shared" si="6"/>
        <v>0</v>
      </c>
    </row>
    <row r="27" spans="1:13" ht="16.5" customHeight="1" ns2:dyDescent="0.2">
      <c r="A27" s="4"/>
      <c r="B27" s="28"/>
      <c r="C27" s="29"/>
      <c r="D27" s="6" t="s">
        <v>24</v>
      </c>
      <c r="E27" s="13" t="s">
        <v>61</v>
      </c>
      <c r="F27" s="13" t="s">
        <v>62</v>
      </c>
      <c r="G27" s="13" t="s">
        <v>100</v>
      </c>
      <c r="H27" s="13">
        <f t="shared" si="5"/>
        <v>0</v>
      </c>
      <c r="I27" s="13">
        <f t="shared" si="6"/>
        <v>0</v>
      </c>
    </row>
    <row r="28" spans="1:13" ht="12.75" customHeight="1" ns2:dyDescent="0.2">
      <c r="A28" s="5">
        <v>2</v>
      </c>
      <c r="B28" s="16" t="s">
        <v>28</v>
      </c>
      <c r="C28" s="18"/>
      <c r="D28" s="6" t="s">
        <v>17</v>
      </c>
      <c r="E28" s="13" t="e">
        <f>SUMPRODUCT(VALUE(E29:E31))</f>
        <v>#VALUE!</v>
      </c>
      <c r="F28" s="13" t="e">
        <f t="shared" ref="F28" si="7">SUMPRODUCT(VALUE(F29:F31))</f>
        <v>#VALUE!</v>
      </c>
      <c r="G28" s="13" t="e">
        <f>SUMPRODUCT(VALUE(G29:G31))</f>
        <v>#VALUE!</v>
      </c>
      <c r="H28" s="13">
        <f t="shared" si="5"/>
        <v>0</v>
      </c>
      <c r="I28" s="13">
        <f t="shared" si="6"/>
        <v>0</v>
      </c>
    </row>
    <row r="29" spans="1:13" ht="12.75" customHeight="1" ns2:dyDescent="0.2">
      <c r="A29" s="4"/>
      <c r="B29" s="19" t="s">
        <v>25</v>
      </c>
      <c r="C29" s="20"/>
      <c r="D29" s="6" t="s">
        <v>17</v>
      </c>
      <c r="E29" s="13" t="s">
        <v>63</v>
      </c>
      <c r="F29" s="13" t="s">
        <v>64</v>
      </c>
      <c r="G29" s="13" t="s">
        <v>101</v>
      </c>
      <c r="H29" s="13">
        <f t="shared" si="5"/>
        <v>0</v>
      </c>
      <c r="I29" s="13">
        <f t="shared" si="6"/>
        <v>0</v>
      </c>
    </row>
    <row r="30" spans="1:13" ht="15.75" customHeight="1" ns2:dyDescent="0.2">
      <c r="A30" s="4"/>
      <c r="B30" s="19" t="s">
        <v>29</v>
      </c>
      <c r="C30" s="20"/>
      <c r="D30" s="6" t="s">
        <v>17</v>
      </c>
      <c r="E30" s="13" t="s">
        <v>65</v>
      </c>
      <c r="F30" s="13" t="s">
        <v>66</v>
      </c>
      <c r="G30" s="13" t="s">
        <v>102</v>
      </c>
      <c r="H30" s="13">
        <f t="shared" si="5"/>
        <v>0</v>
      </c>
      <c r="I30" s="13">
        <f t="shared" si="6"/>
        <v>0</v>
      </c>
    </row>
    <row r="31" spans="1:13" ht="12.75" customHeight="1" ns2:dyDescent="0.2">
      <c r="A31" s="4"/>
      <c r="B31" s="19" t="s">
        <v>27</v>
      </c>
      <c r="C31" s="20"/>
      <c r="D31" s="6" t="s">
        <v>17</v>
      </c>
      <c r="E31" s="13" t="s">
        <v>67</v>
      </c>
      <c r="F31" s="13" t="s">
        <v>68</v>
      </c>
      <c r="G31" s="13" t="s">
        <v>103</v>
      </c>
      <c r="H31" s="13">
        <f t="shared" si="5"/>
        <v>0</v>
      </c>
      <c r="I31" s="13">
        <f t="shared" si="6"/>
        <v>0</v>
      </c>
    </row>
    <row r="32" spans="1:13" ht="15.75" customHeight="1" ns2:dyDescent="0.2">
      <c r="A32" s="5">
        <v>3</v>
      </c>
      <c r="B32" s="16" t="s">
        <v>30</v>
      </c>
      <c r="C32" s="18"/>
      <c r="D32" s="6" t="s">
        <v>17</v>
      </c>
      <c r="E32" s="13" t="e">
        <f>SUMPRODUCT(VALUE(E33:E35))</f>
        <v>#VALUE!</v>
      </c>
      <c r="F32" s="13" t="e">
        <f t="shared" ref="F32:G32" si="8">SUMPRODUCT(VALUE(F33:F35))</f>
        <v>#VALUE!</v>
      </c>
      <c r="G32" s="13" t="e">
        <f t="shared" si="8"/>
        <v>#VALUE!</v>
      </c>
      <c r="H32" s="13">
        <f t="shared" si="5"/>
        <v>0</v>
      </c>
      <c r="I32" s="13">
        <f t="shared" si="6"/>
        <v>0</v>
      </c>
    </row>
    <row r="33" spans="1:9" ht="15.75" customHeight="1" ns2:dyDescent="0.2">
      <c r="A33" s="4"/>
      <c r="B33" s="19" t="s">
        <v>25</v>
      </c>
      <c r="C33" s="20"/>
      <c r="D33" s="6" t="s">
        <v>17</v>
      </c>
      <c r="E33" s="13" t="s">
        <v>69</v>
      </c>
      <c r="F33" s="13" t="s">
        <v>70</v>
      </c>
      <c r="G33" s="13" t="s">
        <v>104</v>
      </c>
      <c r="H33" s="13">
        <f t="shared" si="5"/>
        <v>0</v>
      </c>
      <c r="I33" s="13">
        <f t="shared" si="6"/>
        <v>0</v>
      </c>
    </row>
    <row r="34" spans="1:9" ht="17.25" customHeight="1" ns2:dyDescent="0.2">
      <c r="A34" s="4"/>
      <c r="B34" s="19" t="s">
        <v>29</v>
      </c>
      <c r="C34" s="20"/>
      <c r="D34" s="6" t="s">
        <v>17</v>
      </c>
      <c r="E34" s="13" t="s">
        <v>71</v>
      </c>
      <c r="F34" s="13" t="s">
        <v>72</v>
      </c>
      <c r="G34" s="13" t="s">
        <v>105</v>
      </c>
      <c r="H34" s="13">
        <f t="shared" si="5"/>
        <v>0</v>
      </c>
      <c r="I34" s="13">
        <f t="shared" si="6"/>
        <v>0</v>
      </c>
    </row>
    <row r="35" spans="1:9" ht="17.25" customHeight="1" ns2:dyDescent="0.2">
      <c r="A35" s="4"/>
      <c r="B35" s="19" t="s">
        <v>27</v>
      </c>
      <c r="C35" s="20"/>
      <c r="D35" s="6" t="s">
        <v>17</v>
      </c>
      <c r="E35" s="13" t="s">
        <v>73</v>
      </c>
      <c r="F35" s="13" t="s">
        <v>74</v>
      </c>
      <c r="G35" s="13" t="s">
        <v>106</v>
      </c>
      <c r="H35" s="13">
        <f t="shared" si="5"/>
        <v>0</v>
      </c>
      <c r="I35" s="13">
        <f t="shared" si="6"/>
        <v>0</v>
      </c>
    </row>
    <row r="36" spans="1:9" ht="18" customHeight="1" ns2:dyDescent="0.2">
      <c r="A36" s="5">
        <v>4</v>
      </c>
      <c r="B36" s="16" t="s">
        <v>21</v>
      </c>
      <c r="C36" s="18"/>
      <c r="D36" s="6" t="s">
        <v>17</v>
      </c>
      <c r="E36" s="13" t="s">
        <v>75</v>
      </c>
      <c r="F36" s="13" t="s">
        <v>124</v>
      </c>
      <c r="G36" s="13" t="s">
        <v>127</v>
      </c>
      <c r="H36" s="13">
        <f>ROUND(IFERROR(VALUE(F36) / VALUE(G36), 0) * 100, 2)</f>
        <v>0</v>
      </c>
      <c r="I36" s="13">
        <f t="shared" si="6"/>
        <v>0</v>
      </c>
    </row>
    <row r="37" spans="1:9" ns2:dyDescent="0.2">
      <c r="A37" s="5" t="s">
        <v>31</v>
      </c>
      <c r="B37" s="16" t="s">
        <v>32</v>
      </c>
      <c r="C37" s="17"/>
      <c r="D37" s="17"/>
      <c r="E37" s="17"/>
      <c r="F37" s="17"/>
      <c r="G37" s="17"/>
      <c r="H37" s="17"/>
      <c r="I37" s="18"/>
    </row>
    <row r="38" spans="1:9" ht="25.5" customHeight="1" ns2:dyDescent="0.2">
      <c r="A38" s="5">
        <v>1</v>
      </c>
      <c r="B38" s="16" t="s">
        <v>33</v>
      </c>
      <c r="C38" s="18"/>
      <c r="D38" s="8" t="s">
        <v>17</v>
      </c>
      <c r="E38" s="13" t="s">
        <v>76</v>
      </c>
      <c r="F38" s="13" t="s">
        <v>77</v>
      </c>
      <c r="G38" s="13" t="s">
        <v>107</v>
      </c>
      <c r="H38" s="13">
        <f>ROUND(IFERROR(VALUE(F38) / VALUE(G38), 0) * 100, 2)</f>
        <v>0</v>
      </c>
      <c r="I38" s="13">
        <f>ROUND(IFERROR(VALUE(F38) / VALUE(E38), 0) * 100, 2)</f>
        <v>0</v>
      </c>
    </row>
    <row r="39" spans="1:9" ht="26.25" customHeight="1" ns2:dyDescent="0.2">
      <c r="A39" s="5">
        <v>2</v>
      </c>
      <c r="B39" s="16" t="s">
        <v>34</v>
      </c>
      <c r="C39" s="18"/>
      <c r="D39" s="8" t="s">
        <v>17</v>
      </c>
      <c r="E39" s="13">
        <f>IFERROR(VALUE(E40)+VALUE(E41),0)</f>
        <v>0</v>
      </c>
      <c r="F39" s="13">
        <f>IFERROR(VALUE(F40)+VALUE(F41),0)</f>
        <v>0</v>
      </c>
      <c r="G39" s="13">
        <f>IFERROR(VALUE(G40)+VALUE(G41),0)</f>
        <v>0</v>
      </c>
      <c r="H39" s="13">
        <f t="shared" ref="H39:H52" si="9">ROUND(IFERROR(VALUE(F39) / VALUE(G39), 0) * 100, 2)</f>
        <v>0</v>
      </c>
      <c r="I39" s="13">
        <f t="shared" ref="I39:I52" si="10">ROUND(IFERROR(VALUE(F39) / VALUE(E39), 0) * 100, 2)</f>
        <v>0</v>
      </c>
    </row>
    <row r="40" spans="1:9" ht="31.5" customHeight="1" ns2:dyDescent="0.2">
      <c r="A40" s="4">
        <v>2.1</v>
      </c>
      <c r="B40" s="19" t="s">
        <v>35</v>
      </c>
      <c r="C40" s="20"/>
      <c r="D40" s="8" t="s">
        <v>17</v>
      </c>
      <c r="E40" s="13" t="s">
        <v>78</v>
      </c>
      <c r="F40" s="13" t="s">
        <v>79</v>
      </c>
      <c r="G40" s="13" t="s">
        <v>108</v>
      </c>
      <c r="H40" s="13">
        <f t="shared" si="9"/>
        <v>0</v>
      </c>
      <c r="I40" s="13">
        <f t="shared" si="10"/>
        <v>0</v>
      </c>
    </row>
    <row r="41" spans="1:9" ht="36" customHeight="1" ns2:dyDescent="0.2">
      <c r="A41" s="23">
        <v>2.2000000000000002</v>
      </c>
      <c r="B41" s="19" t="s">
        <v>36</v>
      </c>
      <c r="C41" s="20"/>
      <c r="D41" s="8" t="s">
        <v>17</v>
      </c>
      <c r="E41" s="13">
        <f>IFERROR(VALUE(E42)+VALUE(E43),0)</f>
        <v>0</v>
      </c>
      <c r="F41" s="13">
        <f>IFERROR(VALUE(F42)+VALUE(F43),0)</f>
        <v>0</v>
      </c>
      <c r="G41" s="13">
        <f>IFERROR(VALUE(G42)+VALUE(G43),0)</f>
        <v>0</v>
      </c>
      <c r="H41" s="13">
        <f t="shared" si="9"/>
        <v>0</v>
      </c>
      <c r="I41" s="13">
        <f t="shared" si="10"/>
        <v>0</v>
      </c>
    </row>
    <row r="42" spans="1:9" ht="24.75" customHeight="1" ns2:dyDescent="0.2">
      <c r="A42" s="24"/>
      <c r="B42" s="26" t="s">
        <v>37</v>
      </c>
      <c r="C42" s="7" t="s">
        <v>38</v>
      </c>
      <c r="D42" s="4" t="s">
        <v>17</v>
      </c>
      <c r="E42" s="13" t="s">
        <v>125</v>
      </c>
      <c r="F42" s="13" t="s">
        <v>126</v>
      </c>
      <c r="G42" s="13" t="s">
        <v>109</v>
      </c>
      <c r="H42" s="13">
        <f t="shared" si="9"/>
        <v>0</v>
      </c>
      <c r="I42" s="13">
        <f t="shared" si="10"/>
        <v>0</v>
      </c>
    </row>
    <row r="43" spans="1:9" ht="27" customHeight="1" ns2:dyDescent="0.2">
      <c r="A43" s="25"/>
      <c r="B43" s="27"/>
      <c r="C43" s="9" t="s">
        <v>39</v>
      </c>
      <c r="D43" s="4" t="s">
        <v>17</v>
      </c>
      <c r="E43" s="13" t="s">
        <v>80</v>
      </c>
      <c r="F43" s="13" t="s">
        <v>123</v>
      </c>
      <c r="G43" s="13" t="s">
        <v>110</v>
      </c>
      <c r="H43" s="13">
        <f>ROUND(IFERROR(VALUE(F43) / VALUE(G43), 0) * 100, 2)</f>
        <v>0</v>
      </c>
      <c r="I43" s="13">
        <f>ROUND(IFERROR(VALUE(F43) / VALUE(E43), 0) * 100, 2)</f>
        <v>0</v>
      </c>
    </row>
    <row r="44" spans="1:9" ht="27" customHeight="1" ns2:dyDescent="0.2">
      <c r="A44" s="5">
        <v>3</v>
      </c>
      <c r="B44" s="21" t="s">
        <v>128</v>
      </c>
      <c r="C44" s="22"/>
      <c r="D44" s="8" t="s">
        <v>17</v>
      </c>
      <c r="E44" s="13" t="s">
        <v>81</v>
      </c>
      <c r="F44" s="13" t="s">
        <v>82</v>
      </c>
      <c r="G44" s="13" t="s">
        <v>111</v>
      </c>
      <c r="H44" s="13">
        <f t="shared" si="9"/>
        <v>0</v>
      </c>
      <c r="I44" s="13">
        <f t="shared" si="10"/>
        <v>0</v>
      </c>
    </row>
    <row r="45" spans="1:9" ht="26.25" customHeight="1" ns2:dyDescent="0.2">
      <c r="A45" s="5">
        <v>4</v>
      </c>
      <c r="B45" s="21" t="s">
        <v>41</v>
      </c>
      <c r="C45" s="22"/>
      <c r="D45" s="8" t="s">
        <v>17</v>
      </c>
      <c r="E45" s="13" t="s">
        <v>83</v>
      </c>
      <c r="F45" s="13" t="s">
        <v>84</v>
      </c>
      <c r="G45" s="13" t="s">
        <v>112</v>
      </c>
      <c r="H45" s="13">
        <f t="shared" si="9"/>
        <v>0</v>
      </c>
      <c r="I45" s="13">
        <f t="shared" si="10"/>
        <v>0</v>
      </c>
    </row>
    <row r="46" spans="1:9" ht="27.75" customHeight="1" ns2:dyDescent="0.2">
      <c r="A46" s="5">
        <v>5</v>
      </c>
      <c r="B46" s="16" t="s">
        <v>122</v>
      </c>
      <c r="C46" s="18"/>
      <c r="D46" s="8" t="s">
        <v>17</v>
      </c>
      <c r="E46" s="13" t="s">
        <v>85</v>
      </c>
      <c r="F46" s="13" t="s">
        <v>86</v>
      </c>
      <c r="G46" s="13" t="s">
        <v>113</v>
      </c>
      <c r="H46" s="13">
        <f t="shared" si="9"/>
        <v>0</v>
      </c>
      <c r="I46" s="13">
        <f t="shared" si="10"/>
        <v>0</v>
      </c>
    </row>
    <row r="47" spans="1:9" ht="27.75" customHeight="1" ns2:dyDescent="0.2">
      <c r="A47" s="5">
        <v>6</v>
      </c>
      <c r="B47" s="16" t="s">
        <v>129</v>
      </c>
      <c r="C47" s="18"/>
      <c r="D47" s="8" t="s">
        <v>17</v>
      </c>
      <c r="E47" s="13" t="s">
        <v>137</v>
      </c>
      <c r="F47" s="13" t="s">
        <v>138</v>
      </c>
      <c r="G47" s="13" t="s">
        <v>139</v>
      </c>
      <c r="H47" s="13">
        <f t="shared" si="9"/>
        <v>0</v>
      </c>
      <c r="I47" s="13">
        <f t="shared" si="10"/>
        <v>0</v>
      </c>
    </row>
    <row r="48" spans="1:9" ht="27" customHeight="1" ns2:dyDescent="0.2">
      <c r="A48" s="10" t="s">
        <v>42</v>
      </c>
      <c r="B48" s="16" t="s">
        <v>130</v>
      </c>
      <c r="C48" s="18"/>
      <c r="D48" s="8" t="s">
        <v>40</v>
      </c>
      <c r="E48" s="13" t="e">
        <f>SUMPRODUCT(VALUE(E49:E51))</f>
        <v>#VALUE!</v>
      </c>
      <c r="F48" s="13" t="e">
        <f>SUMPRODUCT(VALUE(F49:F51))</f>
        <v>#VALUE!</v>
      </c>
      <c r="G48" s="13" t="e">
        <f>SUMPRODUCT(VALUE(G49:G51))</f>
        <v>#VALUE!</v>
      </c>
      <c r="H48" s="13">
        <f>ROUND(IFERROR(VALUE(F48) / VALUE(G48), 0) * 100, 2)</f>
        <v>0</v>
      </c>
      <c r="I48" s="13">
        <f>ROUND(IFERROR(VALUE(F48) / VALUE(E48), 0) * 100, 2)</f>
        <v>0</v>
      </c>
    </row>
    <row r="49" spans="1:9" ht="27" customHeight="1" ns2:dyDescent="0.2">
      <c r="A49" s="4">
        <v>3.1</v>
      </c>
      <c r="B49" s="19" t="s">
        <v>43</v>
      </c>
      <c r="C49" s="20"/>
      <c r="D49" s="8" t="s">
        <v>40</v>
      </c>
      <c r="E49" s="13" t="s">
        <v>87</v>
      </c>
      <c r="F49" s="13" t="s">
        <v>88</v>
      </c>
      <c r="G49" s="13" t="s">
        <v>114</v>
      </c>
      <c r="H49" s="13">
        <f t="shared" si="9"/>
        <v>0</v>
      </c>
      <c r="I49" s="13">
        <f t="shared" si="10"/>
        <v>0</v>
      </c>
    </row>
    <row r="50" spans="1:9" ht="26.25" customHeight="1" ns2:dyDescent="0.2">
      <c r="A50" s="4">
        <v>3.2</v>
      </c>
      <c r="B50" s="19" t="s">
        <v>44</v>
      </c>
      <c r="C50" s="20"/>
      <c r="D50" s="8" t="s">
        <v>40</v>
      </c>
      <c r="E50" s="13" t="s">
        <v>89</v>
      </c>
      <c r="F50" s="13" t="s">
        <v>90</v>
      </c>
      <c r="G50" s="13" t="s">
        <v>115</v>
      </c>
      <c r="H50" s="13">
        <f t="shared" si="9"/>
        <v>0</v>
      </c>
      <c r="I50" s="13">
        <f t="shared" si="10"/>
        <v>0</v>
      </c>
    </row>
    <row r="51" spans="1:9" ht="26.25" customHeight="1" ns2:dyDescent="0.2">
      <c r="A51" s="4">
        <v>3.3</v>
      </c>
      <c r="B51" s="19" t="s">
        <v>45</v>
      </c>
      <c r="C51" s="20"/>
      <c r="D51" s="8" t="s">
        <v>40</v>
      </c>
      <c r="E51" s="13" t="s">
        <v>91</v>
      </c>
      <c r="F51" s="13" t="s">
        <v>92</v>
      </c>
      <c r="G51" s="13" t="s">
        <v>116</v>
      </c>
      <c r="H51" s="13">
        <f t="shared" si="9"/>
        <v>0</v>
      </c>
      <c r="I51" s="13">
        <f t="shared" si="10"/>
        <v>0</v>
      </c>
    </row>
    <row r="52" spans="1:9" ht="27" customHeight="1" ns2:dyDescent="0.2">
      <c r="A52" s="5" t="s">
        <v>131</v>
      </c>
      <c r="B52" s="16" t="s">
        <v>46</v>
      </c>
      <c r="C52" s="18"/>
      <c r="D52" s="15" t="s">
        <v>40</v>
      </c>
      <c r="E52" s="13" t="s">
        <v>93</v>
      </c>
      <c r="F52" s="13" t="s">
        <v>94</v>
      </c>
      <c r="G52" s="13" t="s">
        <v>117</v>
      </c>
      <c r="H52" s="13">
        <f t="shared" si="9"/>
        <v>0</v>
      </c>
      <c r="I52" s="13">
        <f t="shared" si="10"/>
        <v>0</v>
      </c>
    </row>
    <row r="53" spans="1:9" ns2:dyDescent="0.2">
      <c r="B53" s="11"/>
      <c r="C53" s="11"/>
      <c r="G53" s="11"/>
      <c r="H53" s="11"/>
    </row>
    <row r="55" spans="1:9" ns2:dyDescent="0.2">
      <c r="B55" s="41" t="s">
        <v>133</v>
      </c>
      <c r="C55" s="41"/>
      <c r="G55" s="41" t="s">
        <v>135</v>
      </c>
      <c r="H55" s="41"/>
      <c r="I55" s="41"/>
    </row>
    <row r="56" spans="1:9" ns2:dyDescent="0.2">
      <c r="B56" s="42" t="s">
        <v>134</v>
      </c>
      <c r="C56" s="42"/>
      <c r="G56" s="42" t="s">
        <v>136</v>
      </c>
      <c r="H56" s="42"/>
      <c r="I56" s="42"/>
    </row>
    <row r="57" spans="1:9" ns2:dyDescent="0.2">
      <c r="B57" s="42"/>
      <c r="C57" s="42"/>
      <c r="G57" s="42"/>
      <c r="H57" s="42"/>
      <c r="I57" s="42"/>
    </row>
    <row r="58" spans="1:9" ns2:dyDescent="0.2">
      <c r="B58" s="42"/>
      <c r="C58" s="42"/>
      <c r="G58" s="42"/>
      <c r="H58" s="42"/>
      <c r="I58" s="42"/>
    </row>
  </sheetData>
  <mergeCells count="55">
    <mergeCell ref="B50:C50"/>
    <mergeCell ref="B55:C55"/>
    <mergeCell ref="B56:C58"/>
    <mergeCell ref="G55:I55"/>
    <mergeCell ref="G56:I58"/>
    <mergeCell ref="B51:C51"/>
    <mergeCell ref="B52:C52"/>
    <mergeCell ref="A7:I7"/>
    <mergeCell ref="C8:H8"/>
    <mergeCell ref="A10:A11"/>
    <mergeCell ref="B10:C11"/>
    <mergeCell ref="D10:D11"/>
    <mergeCell ref="E10:E11"/>
    <mergeCell ref="I10:I11"/>
    <mergeCell ref="F10:F11"/>
    <mergeCell ref="G10:G11"/>
    <mergeCell ref="H10:H11"/>
    <mergeCell ref="B36:C36"/>
    <mergeCell ref="B23:C23"/>
    <mergeCell ref="B12:C12"/>
    <mergeCell ref="B13:I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35:C35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45:C45"/>
    <mergeCell ref="B46:C46"/>
    <mergeCell ref="B48:C48"/>
    <mergeCell ref="B49:C49"/>
    <mergeCell ref="A41:A43"/>
    <mergeCell ref="B41:C41"/>
    <mergeCell ref="B42:B43"/>
    <mergeCell ref="B47:C47"/>
    <mergeCell ref="B37:I37"/>
    <mergeCell ref="B38:C38"/>
    <mergeCell ref="B39:C39"/>
    <mergeCell ref="B40:C40"/>
    <mergeCell ref="B44:C44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2025-11-27T06:27:00Z</dcterms:modified>
</cp:coreProperties>
</file>