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25" i="1" l="1"/>
  <c r="H25" i="1" s="1"/>
  <c r="E25" i="1"/>
  <c r="F23" i="1"/>
  <c r="H28" i="1" l="1"/>
  <c r="K28" i="1"/>
  <c r="J28" i="1" l="1"/>
  <c r="H27" i="1"/>
  <c r="H24" i="1" l="1"/>
  <c r="I32" i="1" l="1"/>
  <c r="G32" i="1"/>
  <c r="F32" i="1"/>
  <c r="E32" i="1"/>
  <c r="I29" i="1"/>
  <c r="G29" i="1"/>
  <c r="F29" i="1"/>
  <c r="E29" i="1"/>
  <c r="I23" i="1"/>
  <c r="G23" i="1"/>
  <c r="E23" i="1"/>
  <c r="I19" i="1"/>
  <c r="G19" i="1"/>
  <c r="F19" i="1"/>
  <c r="E19" i="1"/>
  <c r="I15" i="1"/>
  <c r="G15" i="1"/>
  <c r="F15" i="1"/>
  <c r="E15" i="1"/>
  <c r="I14" i="1" l="1"/>
  <c r="I13" i="1" s="1"/>
  <c r="G14" i="1"/>
  <c r="G13" i="1" s="1"/>
  <c r="F14" i="1"/>
  <c r="F13" i="1" s="1"/>
  <c r="E14" i="1"/>
  <c r="E13" i="1" s="1"/>
  <c r="H15" i="1"/>
  <c r="J15" i="1" s="1"/>
  <c r="H16" i="1"/>
  <c r="H17" i="1"/>
  <c r="H18" i="1"/>
  <c r="H19" i="1"/>
  <c r="H20" i="1"/>
  <c r="H21" i="1"/>
  <c r="H22" i="1"/>
  <c r="H23" i="1"/>
  <c r="K25" i="1"/>
  <c r="H26" i="1"/>
  <c r="H29" i="1"/>
  <c r="H30" i="1"/>
  <c r="H31" i="1"/>
  <c r="H32" i="1"/>
  <c r="H33" i="1"/>
  <c r="H34" i="1"/>
  <c r="H35" i="1"/>
  <c r="J33" i="1" l="1"/>
  <c r="K33" i="1"/>
  <c r="K22" i="1"/>
  <c r="J22" i="1"/>
  <c r="K21" i="1"/>
  <c r="J21" i="1"/>
  <c r="J20" i="1"/>
  <c r="K20" i="1"/>
  <c r="J34" i="1"/>
  <c r="K34" i="1"/>
  <c r="K18" i="1"/>
  <c r="J18" i="1"/>
  <c r="K17" i="1"/>
  <c r="J17" i="1"/>
  <c r="K16" i="1"/>
  <c r="J16" i="1"/>
  <c r="K35" i="1"/>
  <c r="J35" i="1"/>
  <c r="K30" i="1"/>
  <c r="J30" i="1"/>
  <c r="K31" i="1"/>
  <c r="J31" i="1"/>
  <c r="J27" i="1"/>
  <c r="K27" i="1"/>
  <c r="J26" i="1"/>
  <c r="K26" i="1"/>
  <c r="J25" i="1"/>
  <c r="J24" i="1"/>
  <c r="K24" i="1"/>
  <c r="J32" i="1"/>
  <c r="K32" i="1"/>
  <c r="J29" i="1"/>
  <c r="K29" i="1"/>
  <c r="H13" i="1"/>
  <c r="K23" i="1"/>
  <c r="J23" i="1"/>
  <c r="H14" i="1"/>
  <c r="J19" i="1"/>
  <c r="K19" i="1"/>
  <c r="K15" i="1"/>
  <c r="K14" i="1" l="1"/>
  <c r="J14" i="1"/>
  <c r="K13" i="1"/>
  <c r="J13" i="1"/>
</calcChain>
</file>

<file path=xl/comments1.xml><?xml version="1.0" encoding="utf-8"?>
<comments xmlns="http://schemas.openxmlformats.org/spreadsheetml/2006/main">
  <authors>
    <author>Author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Tuha1:</t>
        </r>
        <r>
          <rPr>
            <sz val="9"/>
            <color indexed="81"/>
            <rFont val="Tahoma"/>
            <family val="2"/>
          </rPr>
          <t xml:space="preserve">
jx:area(lastCell="K35")</t>
        </r>
      </text>
    </comment>
  </commentList>
</comments>
</file>

<file path=xl/sharedStrings.xml><?xml version="1.0" encoding="utf-8"?>
<sst xmlns="http://schemas.openxmlformats.org/spreadsheetml/2006/main" count="139" uniqueCount="116">
  <si>
    <t>Ngày nhận báo cáo:</t>
  </si>
  <si>
    <t>Ngày 05 tháng sau</t>
  </si>
  <si>
    <t>STT</t>
  </si>
  <si>
    <t>Chỉ tiêu</t>
  </si>
  <si>
    <t>Đơn vị tính</t>
  </si>
  <si>
    <t>Kế hoạch năm</t>
  </si>
  <si>
    <t>Từ đầu năm đến hết tháng trước</t>
  </si>
  <si>
    <t>Thực hiện tháng báo cáo</t>
  </si>
  <si>
    <t>Lũy kế từ đầu năm đến hết tháng báo cáo</t>
  </si>
  <si>
    <t>Lũy kế cùng kỳ năm trước</t>
  </si>
  <si>
    <t>So với cùng kỳ năm trước (%)</t>
  </si>
  <si>
    <t>A</t>
  </si>
  <si>
    <t>B</t>
  </si>
  <si>
    <t>C</t>
  </si>
  <si>
    <t>4=2+3</t>
  </si>
  <si>
    <t>6=4/5</t>
  </si>
  <si>
    <t>7=4/1</t>
  </si>
  <si>
    <t>I</t>
  </si>
  <si>
    <t>II</t>
  </si>
  <si>
    <t>Từ cảng biển - cảng biển</t>
  </si>
  <si>
    <t>Từ cảng biển - cảng thủy nội địa và ngược lại</t>
  </si>
  <si>
    <t>III</t>
  </si>
  <si>
    <t>LƯỢT TÀU THUYỀN RA, VÀO CẢNG BIỂN</t>
  </si>
  <si>
    <t>Tổng lượt thuyền ra vào cảng biển</t>
  </si>
  <si>
    <t>Lượt</t>
  </si>
  <si>
    <t>Tàu Biển</t>
  </si>
  <si>
    <t>Tàu biển nước ngoài</t>
  </si>
  <si>
    <t>GT</t>
  </si>
  <si>
    <t>Hoạt động nội địa</t>
  </si>
  <si>
    <t>Hoạt động XNC</t>
  </si>
  <si>
    <t>Tàu biển Việt Nam</t>
  </si>
  <si>
    <t>Phương tiện TNĐ trừ PTTNĐ VR-SB</t>
  </si>
  <si>
    <t>Tàu khách</t>
  </si>
  <si>
    <t>Tàu Việt Nam</t>
  </si>
  <si>
    <t>Tàu nước ngoài</t>
  </si>
  <si>
    <t>IV</t>
  </si>
  <si>
    <t>Tàu khách Việt Nam</t>
  </si>
  <si>
    <t>PTTNĐ khách</t>
  </si>
  <si>
    <t>V</t>
  </si>
  <si>
    <t>Đơn vị nhận báo cáo:</t>
  </si>
  <si>
    <t xml:space="preserve">Đơn vị báo cáo: </t>
  </si>
  <si>
    <t>${fkDonViBcText}</t>
  </si>
  <si>
    <t>Cục Hàng hải và Đường thủy Việt Nam</t>
  </si>
  <si>
    <t>(Phòng Vận tải - An toàn và phương tiện)</t>
  </si>
  <si>
    <t>Tháng ${bcMaText}</t>
  </si>
  <si>
    <t>${zobjComReport.tauBienNnGtKeHoachNam.asText()}</t>
  </si>
  <si>
    <t>${zobjComReport.tauBienNnHdndKeHoachNam.asText()}</t>
  </si>
  <si>
    <t>${zobjComReport.tauBienVnGtKeHoachNam.asText()}</t>
  </si>
  <si>
    <t>${zobjComReport.tauBienVnHdndKeHoachNam.asText()}</t>
  </si>
  <si>
    <t>${zobjComReport.pttndTruPttndVrSbKeHoachNam.asText()}</t>
  </si>
  <si>
    <t>${zobjComReport.pttndDkPttndVrSbTuCbCtndVaNguocLaiKeHoachNam.asText()}</t>
  </si>
  <si>
    <t>${zobjComReport.tauKhachTauVnKeHoachNam.asText()}</t>
  </si>
  <si>
    <t>${zobjComReport.tauKhachTauNnKeHoachNam.asText()}</t>
  </si>
  <si>
    <t>${zobjComReport.luotTauTuBoRaDaoTauKhachVnKeHoachNam.asText()}</t>
  </si>
  <si>
    <t>${zobjComReport.luotTauTuBoRaDaoPttndKhachKeHoachNam.asText()}</t>
  </si>
  <si>
    <t>${zobjComReport.luotTauKhuCtBenPhaoKeHoachNam.asText()}</t>
  </si>
  <si>
    <t>${zobjComReport.tauBienNnGtThucHienThangBaoCao.asText()}</t>
  </si>
  <si>
    <t>${zobjComReport.tauBienNnHdndThucHienThangBaoCao.asText()}</t>
  </si>
  <si>
    <t>${zobjComReport.tauBienNnHdxncThucHienThangBaoCao.asText()}</t>
  </si>
  <si>
    <t>${zobjComReport.tauBienVnGtThucHienThangBaoCao.asText()}</t>
  </si>
  <si>
    <t>${zobjComReport.tauBienVnHdndThucHienThangBaoCao.asText()}</t>
  </si>
  <si>
    <t>${zobjComReport.tauBienVnHdxncThucHienThangBaoCao.asText()}</t>
  </si>
  <si>
    <t>${zobjComReport.pttndTruPttndVrSbThucHienThangBaoCao.asText()}</t>
  </si>
  <si>
    <t>${zobjComReport.pttndDkPttndVrSbTuCbCbKeHoachNam.asText()}</t>
  </si>
  <si>
    <t>${zobjComReport.pttndDkPttndVrSbTuCbCbThucHienThangBaoCao.asText()}</t>
  </si>
  <si>
    <t>${zobjComReport.pttndDkPttndVrSbTuCbCtndVaNguocLaiThucHienThangBaoCao.asText()}</t>
  </si>
  <si>
    <t>${zobjComReport.tauKhachTauVnThucHienThangBaoCao.asText()}</t>
  </si>
  <si>
    <t>${zobjComReport.tauKhachTauNnThucHienThangBaoCao.asText()}</t>
  </si>
  <si>
    <t>${zobjComReport.luotTauTuBoRaDaoTauKhachVnThucHienThangBaoCao.asText()}</t>
  </si>
  <si>
    <t>${zobjComReport.luotTauTuBoRaDaoPttndKhachThucHienThangBaoCao.asText()}</t>
  </si>
  <si>
    <t>${zobjComReport.luotTauKhuCtBenPhaoThucHienThangBaoCao.asText()}</t>
  </si>
  <si>
    <t>${zobjDataDefault.tauBienNnGtTuDauNamDenHetThangTruoc.asText()}</t>
  </si>
  <si>
    <t>${zobjDataDefault.tauBienNnHdndTuDauNamDenHetThangTruoc.asText()}</t>
  </si>
  <si>
    <t>${zobjDataDefault.tauBienNnHdxncTuDauNamDenHetThangTruoc.asText()}</t>
  </si>
  <si>
    <t>${zobjDataDefault.tauBienVnGtTuDauNamDenHetThangTruoc.asText()}</t>
  </si>
  <si>
    <t>${zobjDataDefault.tauBienVnHdndTuDauNamDenHetThangTruoc.asText()}</t>
  </si>
  <si>
    <t>${zobjDataDefault.tauBienVnHdxncTuDauNamDenHetThangTruoc.asText()}</t>
  </si>
  <si>
    <t>${zobjDataDefault.pttndTruPttndVrSbTuDauNamDenHetThangTruoc.asText()}</t>
  </si>
  <si>
    <t>${zobjDataDefault.pttndDkPttndVrSbTuDauNamDenHetThangTruoc.asText()}</t>
  </si>
  <si>
    <t>${zobjDataDefault.pttndDkPttndVrSbTuCbCbTuDauNamDenHetThangTruoc.asText()}</t>
  </si>
  <si>
    <t>${zobjDataDefault.pttndDkPttndVrSbTuCbCtndVaNguocLaiTuDauNamDenHetThangTruoc.asText()}</t>
  </si>
  <si>
    <t>${zobjDataDefault.tauKhachTauVnTuDauNamDenHetThangTruoc.asText()}</t>
  </si>
  <si>
    <t>${zobjDataDefault.tauKhachTauNnTuDauNamDenHetThangTruoc.asText()}</t>
  </si>
  <si>
    <t>${zobjDataDefault.luotTauTuBoRaDaoTauKhachVnTuDauNamDenHetThangTruoc.asText()}</t>
  </si>
  <si>
    <t>${zobjDataDefault.luotTauTuBoRaDaoPttndKhachTuDauNamDenHetThangTruoc.asText()}</t>
  </si>
  <si>
    <t>${zobjDataDefault.luotTauKhuCtBenPhaoTuDauNamDenHetThangTruoc.asText()}</t>
  </si>
  <si>
    <t>${zobjDataDefault.tauBienNnGtLuyKeCungKyNamTruoc.asText()}</t>
  </si>
  <si>
    <t>${zobjDataDefault.tauBienNnHdndLuyKeCungKyNamTruoc.asText()}</t>
  </si>
  <si>
    <t>${zobjDataDefault.tauBienNnHdxncLuyKeCungKyNamTruoc.asText()}</t>
  </si>
  <si>
    <t>${zobjDataDefault.tauBienVnGtLuyKeCungKyNamTruoc.asText()}</t>
  </si>
  <si>
    <t>${zobjDataDefault.tauBienVnHdndLuyKeCungKyNamTruoc.asText()}</t>
  </si>
  <si>
    <t>${zobjDataDefault.tauBienVnHdxncLuyKeCungKyNamTruoc.asText()}</t>
  </si>
  <si>
    <t>${zobjDataDefault.pttndTruPttndVrSbLuyKeCungKyNamTruoc.asText()}</t>
  </si>
  <si>
    <t>${zobjDataDefault.pttndDkPttndVrSbLuyKeCungKyNamTruoc.asText()}</t>
  </si>
  <si>
    <t>${zobjDataDefault.pttndDkPttndVrSbTuCbCbLuyKeCungKyNamTruoc.asText()}</t>
  </si>
  <si>
    <t>${zobjDataDefault.pttndDkPttndVrSbTuCbCtndVaNguocLaiLuyKeCungKyNamTruoc.asText()}</t>
  </si>
  <si>
    <t>${zobjDataDefault.tauKhachTauVnLuyKeCungKyNamTruoc.asText()}</t>
  </si>
  <si>
    <t>${zobjDataDefault.tauKhachTauNnLuyKeCungKyNamTruoc.asText()}</t>
  </si>
  <si>
    <t>${zobjDataDefault.luotTauTuBoRaDaoTauKhachVnLuyKeCungKyNamTruoc.asText()}</t>
  </si>
  <si>
    <t>${zobjDataDefault.luotTauTuBoRaDaoPttndKhachLuyKeCungKyNamTruoc.asText()}</t>
  </si>
  <si>
    <t>${zobjDataDefault.luotTauKhuCtBenPhaoLuyKeCungKyNamTruoc.asText()}</t>
  </si>
  <si>
    <t>Phương tiện TNĐ (2.1 + 2.2)</t>
  </si>
  <si>
    <t>Lượt tàu thuyền thông qua cảng</t>
  </si>
  <si>
    <t>Lượt tàu thuyền tuyến từ bờ ra đảo</t>
  </si>
  <si>
    <t>Lượt tàu khu chuyển tải, bến phao</t>
  </si>
  <si>
    <t>So với kế hoạch năm (%)</t>
  </si>
  <si>
    <t>${zobjComReport.tauBienNnHdxncKeHoachNam.asText()}</t>
  </si>
  <si>
    <t>${zobjComReport.tauBienVnHdxncKeHoachNam.asText()}</t>
  </si>
  <si>
    <t>Biểu số 17-T</t>
  </si>
  <si>
    <t>PTTNĐ VR-SB</t>
  </si>
  <si>
    <t>Trong đó</t>
  </si>
  <si>
    <t>Tàu thuyền có trọng tải từ 200 tấn trở xuống</t>
  </si>
  <si>
    <t>${zobjComReport.tauThuyenTrongTaiTu200TroXuongKeHoachNam.asText()}</t>
  </si>
  <si>
    <t>${zobjDataDefault.tauThuyenTrongTaiTu200TroXuongTuDauNamDenHetThangTruoc.asText()}</t>
  </si>
  <si>
    <t>${zobjComReport.tauThuyenTrongTaiTu200TroXuongThucHienThangBaoCao.asText()}</t>
  </si>
  <si>
    <t>${zobjDataDefault.tauThuyenTrongTaiTu200TroXuongLuyKeCungKyNamTruoc.asText()}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</si>
</sst>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sz val="10"/>
      <color rgb="FF000000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0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1" fillId="0" borderId="4" xfId="0" applyFont="1" applyBorder="1" applyAlignment="1">
      <alignment horizontal="center" vertical="center" wrapText="1"/>
    </xf>
    <xf numFmtId="0" fontId="6" fillId="0" borderId="0" xfId="0" applyFont="1"/>
    <xf numFmtId="0" fontId="2" fillId="0" borderId="4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vertical="top" wrapText="1"/>
    </xf>
    <xf numFmtId="0" fontId="2" fillId="0" borderId="8" xfId="0" applyFont="1" applyBorder="1" applyAlignment="1">
      <alignment horizontal="center" vertical="center"/>
    </xf>
    <xf numFmtId="0" fontId="2" fillId="0" borderId="4" xfId="0" applyFont="1" applyBorder="1" applyAlignment="1">
      <alignment horizontal="right" vertical="top" wrapText="1"/>
    </xf>
    <xf numFmtId="0" fontId="2" fillId="0" borderId="8" xfId="0" applyFont="1" applyBorder="1" applyAlignment="1">
      <alignment horizontal="center" vertical="center"/>
    </xf>
    <xf numFmtId="0" fontId="2" fillId="0" borderId="4" xfId="0" applyFont="1" applyBorder="1" applyAlignment="1">
      <alignment vertical="top" wrapText="1"/>
    </xf>
    <xf numFmtId="0" fontId="2" fillId="0" borderId="1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1" fillId="0" borderId="8" xfId="0" applyFont="1" applyBorder="1" applyAlignment="1">
      <alignment horizontal="left" vertical="top" wrapText="1"/>
    </xf>
    <xf numFmtId="0" fontId="1" fillId="0" borderId="9" xfId="0" applyFont="1" applyBorder="1" applyAlignment="1">
      <alignment horizontal="left" vertical="top" wrapText="1"/>
    </xf>
    <xf numFmtId="0" fontId="4" fillId="0" borderId="0" xfId="0" applyFont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top" wrapText="1"/>
    </xf>
    <xf numFmtId="0" fontId="1" fillId="0" borderId="9" xfId="0" applyFont="1" applyBorder="1" applyAlignment="1">
      <alignment horizontal="center" vertical="top" wrapText="1"/>
    </xf>
    <xf numFmtId="0" fontId="2" fillId="0" borderId="8" xfId="0" applyFont="1" applyBorder="1" applyAlignment="1">
      <alignment horizontal="left" vertical="top" wrapText="1"/>
    </xf>
    <xf numFmtId="0" fontId="2" fillId="0" borderId="9" xfId="0" applyFont="1" applyBorder="1" applyAlignment="1">
      <alignment horizontal="left" vertical="top" wrapText="1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top" wrapText="1"/>
    </xf>
    <xf numFmtId="0" fontId="2" fillId="0" borderId="9" xfId="0" applyFont="1" applyBorder="1" applyAlignment="1">
      <alignment horizontal="center" vertical="top" wrapText="1"/>
    </xf>
    <xf numFmtId="0" fontId="1" fillId="0" borderId="10" xfId="0" applyFont="1" applyBorder="1" applyAlignment="1">
      <alignment horizontal="left" vertical="top" wrapText="1"/>
    </xf>
    <xf numFmtId="0" fontId="1" fillId="0" borderId="10" xfId="0" applyFont="1" applyBorder="1" applyAlignment="1">
      <alignment horizontal="center" vertical="top" wrapText="1"/>
    </xf>
    <xf numFmtId="0" fontId="2" fillId="0" borderId="8" xfId="0" applyFont="1" applyBorder="1" applyAlignment="1">
      <alignment horizontal="left" vertical="center" wrapText="1"/>
    </xf>
    <xf numFmtId="0" fontId="2" fillId="0" borderId="9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mc="http://schemas.openxmlformats.org/markup-compatibility/2006" xmlns:ns2="http://schemas.microsoft.com/office/spreadsheetml/2009/9/ac" xmlns:r="http://schemas.openxmlformats.org/officeDocument/2006/relationships" mc:Ignorable="x14ac">
  <sheetPr>
    <pageSetUpPr fitToPage="1"/>
  </sheetPr>
  <dimension ref="A1:U35"/>
  <sheetViews>
    <sheetView tabSelected="1" zoomScale="115" zoomScaleNormal="115" zoomScaleSheetLayoutView="115" workbookViewId="0"/>
  </sheetViews>
  <sheetFormatPr defaultRowHeight="12.75" ns2:dyDescent="0.2"/>
  <cols>
    <col min="1" max="1" width="4.5703125" style="2" customWidth="1"/>
    <col min="2" max="2" width="7.140625" style="2" customWidth="1"/>
    <col min="3" max="3" width="20.7109375" style="2" customWidth="1"/>
    <col min="4" max="4" width="5.7109375" style="2" customWidth="1"/>
    <col min="5" max="5" width="15.28515625" style="2" customWidth="1"/>
    <col min="6" max="6" width="16.28515625" style="2" customWidth="1"/>
    <col min="7" max="7" width="16.7109375" style="2" customWidth="1"/>
    <col min="8" max="8" width="18.42578125" style="2" customWidth="1"/>
    <col min="9" max="9" width="16.28515625" style="2" customWidth="1"/>
    <col min="10" max="10" width="13.7109375" style="2" customWidth="1"/>
    <col min="11" max="11" width="13.85546875" style="2" customWidth="1"/>
    <col min="12" max="16384" width="9.140625" style="2"/>
  </cols>
  <sheetData>
    <row r="1" spans="1:21" ns2:dyDescent="0.2">
      <c r="A1" s="1" t="s">
        <v>108</v>
      </c>
      <c r="G1" s="1"/>
      <c r="I1" s="1" t="s">
        <v>40</v>
      </c>
    </row>
    <row r="2" spans="1:21" ns2:dyDescent="0.2">
      <c r="A2" s="2" t="s">
        <v>0</v>
      </c>
      <c r="I2" s="2" t="s">
        <v>41</v>
      </c>
    </row>
    <row r="3" spans="1:21" ns2:dyDescent="0.2">
      <c r="A3" s="2" t="s">
        <v>1</v>
      </c>
      <c r="I3" s="1" t="s">
        <v>39</v>
      </c>
    </row>
    <row r="4" spans="1:21" ns2:dyDescent="0.2">
      <c r="I4" s="3" t="s">
        <v>42</v>
      </c>
    </row>
    <row r="5" spans="1:21" ns2:dyDescent="0.2">
      <c r="I5" s="2" t="s">
        <v>43</v>
      </c>
    </row>
    <row r="7" spans="1:21" ht="15.75" ns2:dyDescent="0.25">
      <c r="A7" s="23" t="s">
        <v>22</v>
      </c>
      <c r="B7" s="23"/>
      <c r="C7" s="23"/>
      <c r="D7" s="23"/>
      <c r="E7" s="23"/>
      <c r="F7" s="23"/>
      <c r="G7" s="23"/>
      <c r="H7" s="23"/>
      <c r="I7" s="23"/>
      <c r="J7" s="23"/>
      <c r="K7" s="23"/>
    </row>
    <row r="8" spans="1:21" ht="15.75" ns2:dyDescent="0.25">
      <c r="A8" s="20" t="s">
        <v>44</v>
      </c>
      <c r="B8" s="20"/>
      <c r="C8" s="20"/>
      <c r="D8" s="20"/>
      <c r="E8" s="20"/>
      <c r="F8" s="20"/>
      <c r="G8" s="20"/>
      <c r="H8" s="20"/>
      <c r="I8" s="20"/>
      <c r="J8" s="20"/>
      <c r="K8" s="20"/>
    </row>
    <row r="10" spans="1:21" ns2:dyDescent="0.2">
      <c r="A10" s="24" t="s">
        <v>2</v>
      </c>
      <c r="B10" s="26" t="s">
        <v>3</v>
      </c>
      <c r="C10" s="27"/>
      <c r="D10" s="24" t="s">
        <v>4</v>
      </c>
      <c r="E10" s="24" t="s">
        <v>5</v>
      </c>
      <c r="F10" s="30" t="s">
        <v>102</v>
      </c>
      <c r="G10" s="30"/>
      <c r="H10" s="30"/>
      <c r="I10" s="30"/>
      <c r="J10" s="30"/>
      <c r="K10" s="30"/>
    </row>
    <row r="11" spans="1:21" ht="25.5" ns2:dyDescent="0.25">
      <c r="A11" s="25"/>
      <c r="B11" s="28"/>
      <c r="C11" s="29"/>
      <c r="D11" s="25"/>
      <c r="E11" s="25"/>
      <c r="F11" s="4" t="s">
        <v>6</v>
      </c>
      <c r="G11" s="4" t="s">
        <v>7</v>
      </c>
      <c r="H11" s="4" t="s">
        <v>8</v>
      </c>
      <c r="I11" s="4" t="s">
        <v>9</v>
      </c>
      <c r="J11" s="4" t="s">
        <v>10</v>
      </c>
      <c r="K11" s="4" t="s">
        <v>105</v>
      </c>
      <c r="T11"/>
      <c r="U11" s="5"/>
    </row>
    <row r="12" spans="1:21" ns2:dyDescent="0.2">
      <c r="A12" s="6" t="s">
        <v>11</v>
      </c>
      <c r="B12" s="35" t="s">
        <v>12</v>
      </c>
      <c r="C12" s="36"/>
      <c r="D12" s="6" t="s">
        <v>13</v>
      </c>
      <c r="E12" s="6">
        <v>1</v>
      </c>
      <c r="F12" s="6">
        <v>2</v>
      </c>
      <c r="G12" s="6">
        <v>3</v>
      </c>
      <c r="H12" s="6" t="s">
        <v>14</v>
      </c>
      <c r="I12" s="6">
        <v>5</v>
      </c>
      <c r="J12" s="6" t="s">
        <v>15</v>
      </c>
      <c r="K12" s="6" t="s">
        <v>16</v>
      </c>
    </row>
    <row r="13" spans="1:21" ht="15" customHeight="1" ns2:dyDescent="0.2">
      <c r="A13" s="37" t="s">
        <v>23</v>
      </c>
      <c r="B13" s="38"/>
      <c r="C13" s="39"/>
      <c r="D13" s="11" t="s">
        <v>24</v>
      </c>
      <c r="E13" s="12" t="e">
        <f>VALUE(E14)+VALUE(E23)</f>
        <v>#VALUE!</v>
      </c>
      <c r="F13" s="12" t="e">
        <f>VALUE(F14)+VALUE(F23)</f>
        <v>#VALUE!</v>
      </c>
      <c r="G13" s="12" t="e">
        <f>VALUE(G14)+VALUE(G23)</f>
        <v>#VALUE!</v>
      </c>
      <c r="H13" s="12" t="e">
        <f>VALUE(F13)+VALUE(G13)</f>
        <v>#VALUE!</v>
      </c>
      <c r="I13" s="12" t="e">
        <f>VALUE(I14)+VALUE(I23)</f>
        <v>#VALUE!</v>
      </c>
      <c r="J13" s="12">
        <f t="shared" ref="J13:J35" si="0">ROUND(IFERROR(VALUE(H13)/VALUE(I13),0) * 100, 2)</f>
        <v>0</v>
      </c>
      <c r="K13" s="12">
        <f t="shared" ref="K13:K35" si="1">ROUND(IFERROR(VALUE(H13)/VALUE(E13),0) * 100, 2)</f>
        <v>0</v>
      </c>
    </row>
    <row r="14" spans="1:21" ht="15" customHeight="1" ns2:dyDescent="0.2">
      <c r="A14" s="7" t="s">
        <v>17</v>
      </c>
      <c r="B14" s="21" t="s">
        <v>25</v>
      </c>
      <c r="C14" s="42"/>
      <c r="D14" s="11" t="s">
        <v>24</v>
      </c>
      <c r="E14" s="12" t="e">
        <f>VALUE(E15)+VALUE(E19)</f>
        <v>#VALUE!</v>
      </c>
      <c r="F14" s="12" t="e">
        <f>VALUE(F15)+VALUE(F19)</f>
        <v>#VALUE!</v>
      </c>
      <c r="G14" s="12" t="e">
        <f>VALUE(G15)+VALUE(G19)</f>
        <v>#VALUE!</v>
      </c>
      <c r="H14" s="12" t="e">
        <f t="shared" ref="H14:H35" si="2">VALUE(F14)+VALUE(G14)</f>
        <v>#VALUE!</v>
      </c>
      <c r="I14" s="12" t="e">
        <f>VALUE(I15)+VALUE(I19)</f>
        <v>#VALUE!</v>
      </c>
      <c r="J14" s="12">
        <f t="shared" si="0"/>
        <v>0</v>
      </c>
      <c r="K14" s="12">
        <f t="shared" si="1"/>
        <v>0</v>
      </c>
    </row>
    <row r="15" spans="1:21" ht="15" customHeight="1" ns2:dyDescent="0.2">
      <c r="A15" s="6">
        <v>1.1000000000000001</v>
      </c>
      <c r="B15" s="33" t="s">
        <v>26</v>
      </c>
      <c r="C15" s="34"/>
      <c r="D15" s="11" t="s">
        <v>24</v>
      </c>
      <c r="E15" s="12" t="e">
        <f>VALUE(E17)+VALUE(E18)</f>
        <v>#VALUE!</v>
      </c>
      <c r="F15" s="12" t="e">
        <f>VALUE(F17)+VALUE(F18)</f>
        <v>#VALUE!</v>
      </c>
      <c r="G15" s="12" t="e">
        <f>VALUE(G17)+VALUE(G18)</f>
        <v>#VALUE!</v>
      </c>
      <c r="H15" s="12" t="e">
        <f t="shared" si="2"/>
        <v>#VALUE!</v>
      </c>
      <c r="I15" s="12" t="e">
        <f>VALUE(I17)+VALUE(I18)</f>
        <v>#VALUE!</v>
      </c>
      <c r="J15" s="12">
        <f t="shared" si="0"/>
        <v>0</v>
      </c>
      <c r="K15" s="12">
        <f t="shared" si="1"/>
        <v>0</v>
      </c>
    </row>
    <row r="16" spans="1:21" ht="15" customHeight="1" ns2:dyDescent="0.2">
      <c r="A16" s="7"/>
      <c r="B16" s="31"/>
      <c r="C16" s="32"/>
      <c r="D16" s="8" t="s">
        <v>27</v>
      </c>
      <c r="E16" s="12" t="s">
        <v>45</v>
      </c>
      <c r="F16" s="12" t="s">
        <v>71</v>
      </c>
      <c r="G16" s="12" t="s">
        <v>56</v>
      </c>
      <c r="H16" s="12" t="e">
        <f t="shared" si="2"/>
        <v>#VALUE!</v>
      </c>
      <c r="I16" s="12" t="s">
        <v>86</v>
      </c>
      <c r="J16" s="12">
        <f t="shared" si="0"/>
        <v>0</v>
      </c>
      <c r="K16" s="12">
        <f t="shared" si="1"/>
        <v>0</v>
      </c>
    </row>
    <row r="17" spans="1:19" ht="15" customHeight="1" ns2:dyDescent="0.2">
      <c r="A17" s="6"/>
      <c r="B17" s="33" t="s">
        <v>28</v>
      </c>
      <c r="C17" s="34"/>
      <c r="D17" s="9" t="s">
        <v>24</v>
      </c>
      <c r="E17" s="12" t="s">
        <v>46</v>
      </c>
      <c r="F17" s="12" t="s">
        <v>72</v>
      </c>
      <c r="G17" s="12" t="s">
        <v>57</v>
      </c>
      <c r="H17" s="12" t="e">
        <f t="shared" si="2"/>
        <v>#VALUE!</v>
      </c>
      <c r="I17" s="12" t="s">
        <v>87</v>
      </c>
      <c r="J17" s="12">
        <f t="shared" si="0"/>
        <v>0</v>
      </c>
      <c r="K17" s="12">
        <f t="shared" si="1"/>
        <v>0</v>
      </c>
      <c r="S17" s="5"/>
    </row>
    <row r="18" spans="1:19" ht="15" customHeight="1" ns2:dyDescent="0.2">
      <c r="A18" s="6"/>
      <c r="B18" s="33" t="s">
        <v>29</v>
      </c>
      <c r="C18" s="34"/>
      <c r="D18" s="9" t="s">
        <v>24</v>
      </c>
      <c r="E18" s="12" t="s">
        <v>106</v>
      </c>
      <c r="F18" s="12" t="s">
        <v>73</v>
      </c>
      <c r="G18" s="12" t="s">
        <v>58</v>
      </c>
      <c r="H18" s="12" t="e">
        <f t="shared" si="2"/>
        <v>#VALUE!</v>
      </c>
      <c r="I18" s="12" t="s">
        <v>88</v>
      </c>
      <c r="J18" s="12">
        <f t="shared" si="0"/>
        <v>0</v>
      </c>
      <c r="K18" s="12">
        <f t="shared" si="1"/>
        <v>0</v>
      </c>
    </row>
    <row r="19" spans="1:19" ht="14.25" customHeight="1" ns2:dyDescent="0.2">
      <c r="A19" s="6">
        <v>1.2</v>
      </c>
      <c r="B19" s="33" t="s">
        <v>30</v>
      </c>
      <c r="C19" s="34"/>
      <c r="D19" s="9" t="s">
        <v>24</v>
      </c>
      <c r="E19" s="12" t="e">
        <f>VALUE(E21)+VALUE(E22)</f>
        <v>#VALUE!</v>
      </c>
      <c r="F19" s="12" t="e">
        <f>VALUE(F21)+VALUE(F22)</f>
        <v>#VALUE!</v>
      </c>
      <c r="G19" s="12" t="e">
        <f>VALUE(G21)+VALUE(G22)</f>
        <v>#VALUE!</v>
      </c>
      <c r="H19" s="12" t="e">
        <f t="shared" si="2"/>
        <v>#VALUE!</v>
      </c>
      <c r="I19" s="12" t="e">
        <f>VALUE(I21)+VALUE(I22)</f>
        <v>#VALUE!</v>
      </c>
      <c r="J19" s="12">
        <f t="shared" si="0"/>
        <v>0</v>
      </c>
      <c r="K19" s="12">
        <f t="shared" si="1"/>
        <v>0</v>
      </c>
    </row>
    <row r="20" spans="1:19" ht="15" customHeight="1" ns2:dyDescent="0.2">
      <c r="A20" s="6"/>
      <c r="B20" s="40"/>
      <c r="C20" s="41"/>
      <c r="D20" s="9" t="s">
        <v>27</v>
      </c>
      <c r="E20" s="12" t="s">
        <v>47</v>
      </c>
      <c r="F20" s="12" t="s">
        <v>74</v>
      </c>
      <c r="G20" s="12" t="s">
        <v>59</v>
      </c>
      <c r="H20" s="12" t="e">
        <f t="shared" si="2"/>
        <v>#VALUE!</v>
      </c>
      <c r="I20" s="12" t="s">
        <v>89</v>
      </c>
      <c r="J20" s="12">
        <f t="shared" si="0"/>
        <v>0</v>
      </c>
      <c r="K20" s="12">
        <f t="shared" si="1"/>
        <v>0</v>
      </c>
    </row>
    <row r="21" spans="1:19" ht="15" customHeight="1" ns2:dyDescent="0.2">
      <c r="A21" s="6"/>
      <c r="B21" s="33" t="s">
        <v>28</v>
      </c>
      <c r="C21" s="34"/>
      <c r="D21" s="9" t="s">
        <v>24</v>
      </c>
      <c r="E21" s="12" t="s">
        <v>48</v>
      </c>
      <c r="F21" s="12" t="s">
        <v>75</v>
      </c>
      <c r="G21" s="12" t="s">
        <v>60</v>
      </c>
      <c r="H21" s="12" t="e">
        <f t="shared" si="2"/>
        <v>#VALUE!</v>
      </c>
      <c r="I21" s="12" t="s">
        <v>90</v>
      </c>
      <c r="J21" s="12">
        <f t="shared" si="0"/>
        <v>0</v>
      </c>
      <c r="K21" s="12">
        <f t="shared" si="1"/>
        <v>0</v>
      </c>
      <c r="S21" s="5"/>
    </row>
    <row r="22" spans="1:19" ht="15" customHeight="1" ns2:dyDescent="0.2">
      <c r="A22" s="6"/>
      <c r="B22" s="33" t="s">
        <v>29</v>
      </c>
      <c r="C22" s="34"/>
      <c r="D22" s="9" t="s">
        <v>24</v>
      </c>
      <c r="E22" s="12" t="s">
        <v>107</v>
      </c>
      <c r="F22" s="12" t="s">
        <v>76</v>
      </c>
      <c r="G22" s="12" t="s">
        <v>61</v>
      </c>
      <c r="H22" s="12" t="e">
        <f t="shared" si="2"/>
        <v>#VALUE!</v>
      </c>
      <c r="I22" s="12" t="s">
        <v>91</v>
      </c>
      <c r="J22" s="12">
        <f t="shared" si="0"/>
        <v>0</v>
      </c>
      <c r="K22" s="12">
        <f t="shared" si="1"/>
        <v>0</v>
      </c>
    </row>
    <row r="23" spans="1:19" ht="13.5" customHeight="1" ns2:dyDescent="0.2">
      <c r="A23" s="7" t="s">
        <v>18</v>
      </c>
      <c r="B23" s="31" t="s">
        <v>101</v>
      </c>
      <c r="C23" s="43"/>
      <c r="D23" s="9" t="s">
        <v>24</v>
      </c>
      <c r="E23" s="12" t="e">
        <f>VALUE(E24)+VALUE(E25)</f>
        <v>#VALUE!</v>
      </c>
      <c r="F23" s="12" t="e">
        <f>VALUE(F24)+VALUE(F25)</f>
        <v>#VALUE!</v>
      </c>
      <c r="G23" s="12" t="e">
        <f>VALUE(G24)+VALUE(G25)</f>
        <v>#VALUE!</v>
      </c>
      <c r="H23" s="12" t="e">
        <f t="shared" si="2"/>
        <v>#VALUE!</v>
      </c>
      <c r="I23" s="12" t="e">
        <f>VALUE(I24)+VALUE(I25)</f>
        <v>#VALUE!</v>
      </c>
      <c r="J23" s="12">
        <f t="shared" si="0"/>
        <v>0</v>
      </c>
      <c r="K23" s="12">
        <f t="shared" si="1"/>
        <v>0</v>
      </c>
    </row>
    <row r="24" spans="1:19" ht="14.25" customHeight="1" ns2:dyDescent="0.2">
      <c r="A24" s="6">
        <v>2.1</v>
      </c>
      <c r="B24" s="33" t="s">
        <v>31</v>
      </c>
      <c r="C24" s="34"/>
      <c r="D24" s="9" t="s">
        <v>24</v>
      </c>
      <c r="E24" s="12" t="s">
        <v>49</v>
      </c>
      <c r="F24" s="12" t="s">
        <v>77</v>
      </c>
      <c r="G24" s="12" t="s">
        <v>62</v>
      </c>
      <c r="H24" s="12" t="e">
        <f>VALUE(F24)+VALUE(G24)</f>
        <v>#VALUE!</v>
      </c>
      <c r="I24" s="12" t="s">
        <v>92</v>
      </c>
      <c r="J24" s="12">
        <f t="shared" si="0"/>
        <v>0</v>
      </c>
      <c r="K24" s="12">
        <f t="shared" si="1"/>
        <v>0</v>
      </c>
    </row>
    <row r="25" spans="1:19" ht="15.75" customHeight="1" ns2:dyDescent="0.2">
      <c r="A25" s="15">
        <v>2.2000000000000002</v>
      </c>
      <c r="B25" s="33" t="s">
        <v>109</v>
      </c>
      <c r="C25" s="34"/>
      <c r="D25" s="9" t="s">
        <v>24</v>
      </c>
      <c r="E25" s="12" t="e">
        <f xml:space="preserve"> VALUE(E26) + VALUE(E27)</f>
        <v>#VALUE!</v>
      </c>
      <c r="F25" s="12" t="s">
        <v>78</v>
      </c>
      <c r="G25" s="12" t="e">
        <f xml:space="preserve"> VALUE(G26) + VALUE(G27)</f>
        <v>#VALUE!</v>
      </c>
      <c r="H25" s="12" t="e">
        <f>VALUE(F25)+VALUE(G25)</f>
        <v>#VALUE!</v>
      </c>
      <c r="I25" s="12" t="s">
        <v>93</v>
      </c>
      <c r="J25" s="12">
        <f t="shared" si="0"/>
        <v>0</v>
      </c>
      <c r="K25" s="12">
        <f>ROUND(IFERROR(VALUE(H25)/VALUE(E25),0) * 100, 2)</f>
        <v>0</v>
      </c>
    </row>
    <row r="26" spans="1:19" ht="13.5" customHeight="1" ns2:dyDescent="0.2">
      <c r="A26" s="18"/>
      <c r="B26" s="46" t="s">
        <v>110</v>
      </c>
      <c r="C26" s="14" t="s">
        <v>19</v>
      </c>
      <c r="D26" s="13" t="s">
        <v>24</v>
      </c>
      <c r="E26" s="12" t="s">
        <v>63</v>
      </c>
      <c r="F26" s="12" t="s">
        <v>79</v>
      </c>
      <c r="G26" s="12" t="s">
        <v>64</v>
      </c>
      <c r="H26" s="12" t="e">
        <f t="shared" si="2"/>
        <v>#VALUE!</v>
      </c>
      <c r="I26" s="12" t="s">
        <v>94</v>
      </c>
      <c r="J26" s="12">
        <f t="shared" si="0"/>
        <v>0</v>
      </c>
      <c r="K26" s="12">
        <f t="shared" si="1"/>
        <v>0</v>
      </c>
    </row>
    <row r="27" spans="1:19" ht="27" customHeight="1" ns2:dyDescent="0.2">
      <c r="A27" s="19"/>
      <c r="B27" s="47"/>
      <c r="C27" s="10" t="s">
        <v>20</v>
      </c>
      <c r="D27" s="13" t="s">
        <v>24</v>
      </c>
      <c r="E27" s="12" t="s">
        <v>50</v>
      </c>
      <c r="F27" s="12" t="s">
        <v>80</v>
      </c>
      <c r="G27" s="12" t="s">
        <v>65</v>
      </c>
      <c r="H27" s="12" t="e">
        <f>VALUE(F27)+VALUE(G27)</f>
        <v>#VALUE!</v>
      </c>
      <c r="I27" s="12" t="s">
        <v>95</v>
      </c>
      <c r="J27" s="12">
        <f t="shared" si="0"/>
        <v>0</v>
      </c>
      <c r="K27" s="12">
        <f t="shared" si="1"/>
        <v>0</v>
      </c>
    </row>
    <row r="28" spans="1:19" ht="29.25" customHeight="1" ns2:dyDescent="0.2">
      <c r="A28" s="16">
        <v>2.2999999999999998</v>
      </c>
      <c r="B28" s="44" t="s">
        <v>111</v>
      </c>
      <c r="C28" s="45"/>
      <c r="D28" s="17" t="s">
        <v>24</v>
      </c>
      <c r="E28" s="12" t="s">
        <v>112</v>
      </c>
      <c r="F28" s="12" t="s">
        <v>113</v>
      </c>
      <c r="G28" s="12" t="s">
        <v>114</v>
      </c>
      <c r="H28" s="12" t="e">
        <f>VALUE(F28)+VALUE(G28)</f>
        <v>#VALUE!</v>
      </c>
      <c r="I28" s="12" t="s">
        <v>115</v>
      </c>
      <c r="J28" s="12">
        <f t="shared" si="0"/>
        <v>0</v>
      </c>
      <c r="K28" s="12">
        <f t="shared" si="1"/>
        <v>0</v>
      </c>
    </row>
    <row r="29" spans="1:19" ht="15" customHeight="1" ns2:dyDescent="0.2">
      <c r="A29" s="7" t="s">
        <v>21</v>
      </c>
      <c r="B29" s="21" t="s">
        <v>32</v>
      </c>
      <c r="C29" s="22"/>
      <c r="D29" s="9" t="s">
        <v>24</v>
      </c>
      <c r="E29" s="12" t="e">
        <f>VALUE(E30)+VALUE(E31)</f>
        <v>#VALUE!</v>
      </c>
      <c r="F29" s="12" t="e">
        <f>VALUE(F30)+VALUE(F31)</f>
        <v>#VALUE!</v>
      </c>
      <c r="G29" s="12" t="e">
        <f>VALUE(G30)+VALUE(G31)</f>
        <v>#VALUE!</v>
      </c>
      <c r="H29" s="12" t="e">
        <f t="shared" si="2"/>
        <v>#VALUE!</v>
      </c>
      <c r="I29" s="12" t="e">
        <f>VALUE(I30)+VALUE(I31)</f>
        <v>#VALUE!</v>
      </c>
      <c r="J29" s="12">
        <f t="shared" si="0"/>
        <v>0</v>
      </c>
      <c r="K29" s="12">
        <f t="shared" si="1"/>
        <v>0</v>
      </c>
    </row>
    <row r="30" spans="1:19" ht="13.5" customHeight="1" ns2:dyDescent="0.2">
      <c r="A30" s="6">
        <v>3.1</v>
      </c>
      <c r="B30" s="33" t="s">
        <v>33</v>
      </c>
      <c r="C30" s="34"/>
      <c r="D30" s="9" t="s">
        <v>24</v>
      </c>
      <c r="E30" s="12" t="s">
        <v>51</v>
      </c>
      <c r="F30" s="12" t="s">
        <v>81</v>
      </c>
      <c r="G30" s="12" t="s">
        <v>66</v>
      </c>
      <c r="H30" s="12" t="e">
        <f t="shared" si="2"/>
        <v>#VALUE!</v>
      </c>
      <c r="I30" s="12" t="s">
        <v>96</v>
      </c>
      <c r="J30" s="12">
        <f t="shared" si="0"/>
        <v>0</v>
      </c>
      <c r="K30" s="12">
        <f t="shared" si="1"/>
        <v>0</v>
      </c>
    </row>
    <row r="31" spans="1:19" ht="14.25" customHeight="1" ns2:dyDescent="0.2">
      <c r="A31" s="6">
        <v>3.2</v>
      </c>
      <c r="B31" s="33" t="s">
        <v>34</v>
      </c>
      <c r="C31" s="34"/>
      <c r="D31" s="9" t="s">
        <v>24</v>
      </c>
      <c r="E31" s="12" t="s">
        <v>52</v>
      </c>
      <c r="F31" s="12" t="s">
        <v>82</v>
      </c>
      <c r="G31" s="12" t="s">
        <v>67</v>
      </c>
      <c r="H31" s="12" t="e">
        <f t="shared" si="2"/>
        <v>#VALUE!</v>
      </c>
      <c r="I31" s="12" t="s">
        <v>97</v>
      </c>
      <c r="J31" s="12">
        <f t="shared" si="0"/>
        <v>0</v>
      </c>
      <c r="K31" s="12">
        <f t="shared" si="1"/>
        <v>0</v>
      </c>
    </row>
    <row r="32" spans="1:19" ht="15" customHeight="1" ns2:dyDescent="0.2">
      <c r="A32" s="7" t="s">
        <v>35</v>
      </c>
      <c r="B32" s="21" t="s">
        <v>103</v>
      </c>
      <c r="C32" s="22"/>
      <c r="D32" s="9" t="s">
        <v>24</v>
      </c>
      <c r="E32" s="12" t="e">
        <f>VALUE(E33)+VALUE(E34)</f>
        <v>#VALUE!</v>
      </c>
      <c r="F32" s="12" t="e">
        <f>VALUE(F33)+VALUE(F34)</f>
        <v>#VALUE!</v>
      </c>
      <c r="G32" s="12" t="e">
        <f>VALUE(G33)+VALUE(G34)</f>
        <v>#VALUE!</v>
      </c>
      <c r="H32" s="12" t="e">
        <f t="shared" si="2"/>
        <v>#VALUE!</v>
      </c>
      <c r="I32" s="12" t="e">
        <f>VALUE(I33)+VALUE(I34)</f>
        <v>#VALUE!</v>
      </c>
      <c r="J32" s="12">
        <f t="shared" si="0"/>
        <v>0</v>
      </c>
      <c r="K32" s="12">
        <f t="shared" si="1"/>
        <v>0</v>
      </c>
    </row>
    <row r="33" spans="1:11" ht="15" customHeight="1" ns2:dyDescent="0.2">
      <c r="A33" s="6">
        <v>4.0999999999999996</v>
      </c>
      <c r="B33" s="33" t="s">
        <v>36</v>
      </c>
      <c r="C33" s="34"/>
      <c r="D33" s="9" t="s">
        <v>24</v>
      </c>
      <c r="E33" s="12" t="s">
        <v>53</v>
      </c>
      <c r="F33" s="12" t="s">
        <v>83</v>
      </c>
      <c r="G33" s="12" t="s">
        <v>68</v>
      </c>
      <c r="H33" s="12" t="e">
        <f t="shared" si="2"/>
        <v>#VALUE!</v>
      </c>
      <c r="I33" s="12" t="s">
        <v>98</v>
      </c>
      <c r="J33" s="12">
        <f t="shared" si="0"/>
        <v>0</v>
      </c>
      <c r="K33" s="12">
        <f t="shared" si="1"/>
        <v>0</v>
      </c>
    </row>
    <row r="34" spans="1:11" ht="17.25" customHeight="1" ns2:dyDescent="0.2">
      <c r="A34" s="6">
        <v>4.2</v>
      </c>
      <c r="B34" s="33" t="s">
        <v>37</v>
      </c>
      <c r="C34" s="34"/>
      <c r="D34" s="9" t="s">
        <v>24</v>
      </c>
      <c r="E34" s="12" t="s">
        <v>54</v>
      </c>
      <c r="F34" s="12" t="s">
        <v>84</v>
      </c>
      <c r="G34" s="12" t="s">
        <v>69</v>
      </c>
      <c r="H34" s="12" t="e">
        <f t="shared" si="2"/>
        <v>#VALUE!</v>
      </c>
      <c r="I34" s="12" t="s">
        <v>99</v>
      </c>
      <c r="J34" s="12">
        <f t="shared" si="0"/>
        <v>0</v>
      </c>
      <c r="K34" s="12">
        <f t="shared" si="1"/>
        <v>0</v>
      </c>
    </row>
    <row r="35" spans="1:11" ht="15" customHeight="1" ns2:dyDescent="0.2">
      <c r="A35" s="7" t="s">
        <v>38</v>
      </c>
      <c r="B35" s="21" t="s">
        <v>104</v>
      </c>
      <c r="C35" s="22"/>
      <c r="D35" s="9" t="s">
        <v>24</v>
      </c>
      <c r="E35" s="12" t="s">
        <v>55</v>
      </c>
      <c r="F35" s="12" t="s">
        <v>85</v>
      </c>
      <c r="G35" s="12" t="s">
        <v>70</v>
      </c>
      <c r="H35" s="12" t="e">
        <f t="shared" si="2"/>
        <v>#VALUE!</v>
      </c>
      <c r="I35" s="12" t="s">
        <v>100</v>
      </c>
      <c r="J35" s="12">
        <f t="shared" si="0"/>
        <v>0</v>
      </c>
      <c r="K35" s="12">
        <f t="shared" si="1"/>
        <v>0</v>
      </c>
    </row>
  </sheetData>
  <mergeCells count="31">
    <mergeCell ref="B34:C34"/>
    <mergeCell ref="B29:C29"/>
    <mergeCell ref="B30:C30"/>
    <mergeCell ref="B14:C14"/>
    <mergeCell ref="B15:C15"/>
    <mergeCell ref="B19:C19"/>
    <mergeCell ref="B22:C22"/>
    <mergeCell ref="B31:C31"/>
    <mergeCell ref="B23:C23"/>
    <mergeCell ref="B28:C28"/>
    <mergeCell ref="B25:C25"/>
    <mergeCell ref="B26:B27"/>
    <mergeCell ref="B32:C32"/>
    <mergeCell ref="B33:C33"/>
    <mergeCell ref="B21:C21"/>
    <mergeCell ref="A26:A27"/>
    <mergeCell ref="A8:K8"/>
    <mergeCell ref="B35:C35"/>
    <mergeCell ref="A7:K7"/>
    <mergeCell ref="A10:A11"/>
    <mergeCell ref="B10:C11"/>
    <mergeCell ref="D10:D11"/>
    <mergeCell ref="E10:E11"/>
    <mergeCell ref="F10:K10"/>
    <mergeCell ref="B16:C16"/>
    <mergeCell ref="B17:C17"/>
    <mergeCell ref="B18:C18"/>
    <mergeCell ref="B12:C12"/>
    <mergeCell ref="A13:C13"/>
    <mergeCell ref="B24:C24"/>
    <mergeCell ref="B20:C20"/>
  </mergeCells>
  <pageMargins left="0.7" right="0.7" top="0.75" bottom="0.75" header="0.3" footer="0.3"/>
  <pageSetup paperSize="9" fitToWidth="1" fitToHeight="0"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2025-11-12T08:57:21Z</dcterms:modified>
</cp:coreProperties>
</file>