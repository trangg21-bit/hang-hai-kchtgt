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36" i="1"/>
  <c r="F33" i="1"/>
  <c r="E33" i="1"/>
  <c r="F30" i="1"/>
  <c r="E30" i="1"/>
  <c r="F24" i="1"/>
  <c r="E24" i="1"/>
  <c r="F20" i="1"/>
  <c r="E20" i="1"/>
  <c r="G17" i="1"/>
  <c r="E16" i="1"/>
  <c r="G31" i="1"/>
  <c r="G18" i="1"/>
  <c r="G19" i="1"/>
  <c r="G21" i="1"/>
  <c r="G22" i="1"/>
  <c r="G23" i="1"/>
  <c r="G25" i="1"/>
  <c r="G26" i="1"/>
  <c r="G27" i="1"/>
  <c r="G28" i="1"/>
  <c r="G29" i="1"/>
  <c r="G32" i="1"/>
  <c r="G34" i="1"/>
  <c r="G35" i="1"/>
  <c r="G33" i="1" l="1"/>
  <c r="G30" i="1"/>
  <c r="G24" i="1"/>
  <c r="G20" i="1"/>
  <c r="E15" i="1"/>
  <c r="F16" i="1"/>
  <c r="G16" i="1" s="1"/>
  <c r="E14" i="1" l="1"/>
  <c r="F15" i="1"/>
  <c r="F14" i="1" s="1"/>
  <c r="G15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jx:area(lastCell="G40")</t>
        </r>
      </text>
    </comment>
  </commentList>
</comments>
</file>

<file path=xl/sharedStrings.xml><?xml version="1.0" encoding="utf-8"?>
<sst xmlns="http://schemas.openxmlformats.org/spreadsheetml/2006/main" count="106" uniqueCount="83">
  <si>
    <t>STT</t>
  </si>
  <si>
    <t>Chỉ tiêu</t>
  </si>
  <si>
    <t>Đơn vị tính</t>
  </si>
  <si>
    <t>So với cùng kỳ năm trước (%)</t>
  </si>
  <si>
    <t>A</t>
  </si>
  <si>
    <t>B</t>
  </si>
  <si>
    <t>C</t>
  </si>
  <si>
    <t>I</t>
  </si>
  <si>
    <t>II</t>
  </si>
  <si>
    <t>Từ cảng biển - cảng biển</t>
  </si>
  <si>
    <t>Từ cảng biển - cảng thủy nội địa và ngược lại</t>
  </si>
  <si>
    <t>III</t>
  </si>
  <si>
    <t>LƯỢT TÀU THUYỀN RA, VÀO CẢNG BIỂN</t>
  </si>
  <si>
    <t>Tổng lượt thuyền ra vào cảng biển</t>
  </si>
  <si>
    <t>Lượt</t>
  </si>
  <si>
    <t>Tàu Biển</t>
  </si>
  <si>
    <t>Tàu biển nước ngoài</t>
  </si>
  <si>
    <t>GT</t>
  </si>
  <si>
    <t>Hoạt động nội địa</t>
  </si>
  <si>
    <t>Hoạt động XNC</t>
  </si>
  <si>
    <t>Tàu biển Việt Nam</t>
  </si>
  <si>
    <t>Phương tiện TNĐ trừ PTTNĐ VR-SB</t>
  </si>
  <si>
    <t>IV</t>
  </si>
  <si>
    <t>PTTNĐ khách</t>
  </si>
  <si>
    <t>V</t>
  </si>
  <si>
    <t>Đơn vị nhận báo cáo:</t>
  </si>
  <si>
    <t xml:space="preserve">Đơn vị báo cáo: </t>
  </si>
  <si>
    <t>${fkDonViBcText}</t>
  </si>
  <si>
    <t>Cục Hàng hải và Đường thủy Việt Nam</t>
  </si>
  <si>
    <t>(Phòng Vận tải - An toàn và phương tiện)</t>
  </si>
  <si>
    <t>Phương tiện TNĐ (2.1 + 2.2)</t>
  </si>
  <si>
    <t>Lượt tàu thuyền thông qua cảng</t>
  </si>
  <si>
    <t>Lượt tàu thuyền tuyến từ bờ ra đảo</t>
  </si>
  <si>
    <t>Lượt tàu khu chuyển tải, bến phao</t>
  </si>
  <si>
    <t>PTTNĐ VR-SB</t>
  </si>
  <si>
    <t>Trong đó</t>
  </si>
  <si>
    <t>Tàu thuyền có trọng tải từ 200 tấn trở xuống</t>
  </si>
  <si>
    <t>Thời gian báo cáo: ${bcThoiGian}</t>
  </si>
  <si>
    <t>Người lập báo cáo</t>
  </si>
  <si>
    <t>(Ký, ghi rõ họ tên)</t>
  </si>
  <si>
    <t>(Thủ trưởng đơn vị ký, đóng dấu)</t>
  </si>
  <si>
    <t>3=1/2</t>
  </si>
  <si>
    <t>Lượt kỳ lựa chọn</t>
  </si>
  <si>
    <t>Lượt cùng kỳ năm trước</t>
  </si>
  <si>
    <t>Tàu thuyền chở khách</t>
  </si>
  <si>
    <t>Tàu thuyền Việt Nam</t>
  </si>
  <si>
    <t>Tàu thuyền nước ngoài</t>
  </si>
  <si>
    <t>Tàu biển khách Việt Nam</t>
  </si>
  <si>
    <t>${zobjComReport.tauBienNnGtLuotKyLuaChon.asText()}</t>
  </si>
  <si>
    <t>${zobjComReport.tauBienNnGtLuotCungKyNamTruoc.asText()}</t>
  </si>
  <si>
    <t>${zobjComReport.tauBienNnHdndLuotKyLuaChon.asText()}</t>
  </si>
  <si>
    <t>${zobjComReport.tauBienNnHdndLuotCungKyNamTruoc.asText()}</t>
  </si>
  <si>
    <t>${zobjComReport.tauBienNnHdxncLuotKyLuaChon.asText()}</t>
  </si>
  <si>
    <t>${zobjComReport.tauBienNnHdxncLuotCungKyNamTruoc.asText()}</t>
  </si>
  <si>
    <t>${zobjComReport.tauBienVnGTLuotKyLuaChon.asText()}</t>
  </si>
  <si>
    <t>${zobjComReport.tauBienVnHdndLuotKyLuaChon.asText()}</t>
  </si>
  <si>
    <t>${zobjComReport.tauBienVnHdndLuotCungKyNamTruoc.asText()}</t>
  </si>
  <si>
    <t>${zobjComReport.tauBienVnHdxncLuotKyLuaChon.asText()}</t>
  </si>
  <si>
    <t>${zobjComReport.tauBienVnHdxncLuotCungKyNamTruoc.asText()}</t>
  </si>
  <si>
    <t>${zobjComReport.pttndTruPttndVrSbLuotKyLuaChon.asText()}</t>
  </si>
  <si>
    <t>${zobjComReport.pttndTruPttndVrSbLuotCungKyNamTruoc.asText()}</t>
  </si>
  <si>
    <t>${zobjComReport.pttndDkPttndVrSbLuotKyLuaChon.asText()}</t>
  </si>
  <si>
    <t>${zobjComReport.pttndDkPttndVrSbLuotCungKyNamTruoc.asText()}</t>
  </si>
  <si>
    <t>${zobjComReport.pttndDkPttndVrSbTuCbCbLuotKyLuaChon.asText()}</t>
  </si>
  <si>
    <t>${zobjComReport.pttndDkPttndVrSbTuCbCbLuotCungKyNamTruoc.asText()}</t>
  </si>
  <si>
    <t>${zobjComReport.pttndDkPttndVrSbTuCbCtndVaNguocLaiLuotKyLuaChon.asText()}</t>
  </si>
  <si>
    <t>${zobjComReport.pttndDkPttndVrSbTuCbCtndVaNguocLaiLuotCungKyNamTruoc.asText()}</t>
  </si>
  <si>
    <t>${zobjComReport.pttndTauThuyenTrongTaiDuoi200Tan.asText()}</t>
  </si>
  <si>
    <t>${zobjComReport.pttndTauThuyenTrongTaiDuoi200TanCungKyNamTruoc.asText()}</t>
  </si>
  <si>
    <t>${zobjComReport.tauKhachTauVnLuotKyLuaChon.asText()}</t>
  </si>
  <si>
    <t>${zobjComReport.tauKhachTauVnLuotCungKyNamTruoc.asText()}</t>
  </si>
  <si>
    <t>${zobjComReport.tauKhachTauNnLuotKyLuaChon.asText()}</t>
  </si>
  <si>
    <t>${zobjComReport.tauKhachTauNnLuotCungKyNamTruoc.asText()}</t>
  </si>
  <si>
    <t>${zobjComReport.luotTauTuBoRaDaoTauKhachVnLuotKyLuaChon.asText()}</t>
  </si>
  <si>
    <t>${zobjComReport.luotTauTuBoRaDaoTauKhachVnLuotCungKyNamTruoc.asText()}</t>
  </si>
  <si>
    <t>${zobjComReport.luotTauTuBoRaDaoPttndKhachLuotKyLuaChon.asText()}</t>
  </si>
  <si>
    <t>${zobjComReport.luotTauTuBoRaDaoPttndKhachLuotCungKyNamTruoc.asText()}</t>
  </si>
  <si>
    <t>${zobjComReport.luotTauKhuCtBenPhaoLuotKyLuaChon.asText()}</t>
  </si>
  <si>
    <t>${zobjComReport.luotTauKhuCtBenPhaoLuotCungKyNamTruoc.asText()}</t>
  </si>
  <si>
    <t>${zobjComReport.tauBienVnGTLuotCungKyNamTruoc.asText()}</t>
  </si>
  <si>
    <t>Thời gian so sánh: ${ssThoiGian}</t>
  </si>
  <si>
    <t>Biểu số …</t>
  </si>
  <si>
    <t>…, ngày … tháng … năm…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</si>
</sst>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5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Q40"/>
  <sheetViews>
    <sheetView tabSelected="1" zoomScale="115" zoomScaleNormal="115" zoomScaleSheetLayoutView="115" workbookViewId="0"/>
  </sheetViews>
  <sheetFormatPr defaultRowHeight="12.75" ns2:dyDescent="0.2"/>
  <cols>
    <col min="1" max="1" width="6.42578125" style="2" customWidth="1"/>
    <col min="2" max="2" width="8.5703125" style="2" customWidth="1"/>
    <col min="3" max="3" width="32.42578125" style="2" customWidth="1"/>
    <col min="4" max="4" width="14.5703125" style="2" customWidth="1"/>
    <col min="5" max="5" width="24.140625" style="2" customWidth="1"/>
    <col min="6" max="6" width="24.42578125" style="2" customWidth="1"/>
    <col min="7" max="7" width="24.140625" style="2" customWidth="1"/>
    <col min="8" max="16384" width="9.140625" style="2"/>
  </cols>
  <sheetData>
    <row r="1" spans="1:17" ns2:dyDescent="0.2">
      <c r="A1" s="1" t="s">
        <v>81</v>
      </c>
      <c r="E1" s="1"/>
      <c r="F1" s="1" t="s">
        <v>26</v>
      </c>
    </row>
    <row r="2" spans="1:17" ns2:dyDescent="0.2">
      <c r="F2" s="2" t="s">
        <v>27</v>
      </c>
    </row>
    <row r="3" spans="1:17" ns2:dyDescent="0.2">
      <c r="F3" s="1" t="s">
        <v>25</v>
      </c>
    </row>
    <row r="4" spans="1:17" ns2:dyDescent="0.2">
      <c r="F4" s="3" t="s">
        <v>28</v>
      </c>
    </row>
    <row r="5" spans="1:17" ns2:dyDescent="0.2">
      <c r="F5" s="2" t="s">
        <v>29</v>
      </c>
    </row>
    <row r="7" spans="1:17" ht="15.75" ns2:dyDescent="0.25">
      <c r="A7" s="25" t="s">
        <v>12</v>
      </c>
      <c r="B7" s="25"/>
      <c r="C7" s="25"/>
      <c r="D7" s="25"/>
      <c r="E7" s="25"/>
      <c r="F7" s="25"/>
      <c r="G7" s="25"/>
    </row>
    <row r="8" spans="1:17" ns2:dyDescent="0.2">
      <c r="A8" s="19" t="s">
        <v>37</v>
      </c>
      <c r="B8" s="19"/>
      <c r="C8" s="19"/>
      <c r="D8" s="19"/>
      <c r="E8" s="19"/>
      <c r="F8" s="19"/>
      <c r="G8" s="19"/>
    </row>
    <row r="9" spans="1:17" ns2:dyDescent="0.2">
      <c r="A9" s="19" t="s">
        <v>80</v>
      </c>
      <c r="B9" s="19"/>
      <c r="C9" s="19"/>
      <c r="D9" s="19"/>
      <c r="E9" s="19"/>
      <c r="F9" s="19"/>
      <c r="G9" s="19"/>
    </row>
    <row r="11" spans="1:17" ns2:dyDescent="0.2">
      <c r="A11" s="26" t="s">
        <v>0</v>
      </c>
      <c r="B11" s="28" t="s">
        <v>1</v>
      </c>
      <c r="C11" s="29"/>
      <c r="D11" s="26" t="s">
        <v>2</v>
      </c>
      <c r="E11" s="32" t="s">
        <v>31</v>
      </c>
      <c r="F11" s="32"/>
      <c r="G11" s="32"/>
    </row>
    <row r="12" spans="1:17" ht="36" customHeight="1" ns2:dyDescent="0.25">
      <c r="A12" s="27"/>
      <c r="B12" s="30"/>
      <c r="C12" s="31"/>
      <c r="D12" s="27"/>
      <c r="E12" s="4" t="s">
        <v>42</v>
      </c>
      <c r="F12" s="4" t="s">
        <v>43</v>
      </c>
      <c r="G12" s="4" t="s">
        <v>3</v>
      </c>
      <c r="P12"/>
      <c r="Q12" s="5"/>
    </row>
    <row r="13" spans="1:17" ns2:dyDescent="0.2">
      <c r="A13" s="6" t="s">
        <v>4</v>
      </c>
      <c r="B13" s="37" t="s">
        <v>5</v>
      </c>
      <c r="C13" s="38"/>
      <c r="D13" s="6" t="s">
        <v>6</v>
      </c>
      <c r="E13" s="6">
        <v>1</v>
      </c>
      <c r="F13" s="6">
        <v>2</v>
      </c>
      <c r="G13" s="6" t="s">
        <v>41</v>
      </c>
    </row>
    <row r="14" spans="1:17" ht="15" customHeight="1" ns2:dyDescent="0.2">
      <c r="A14" s="39" t="s">
        <v>13</v>
      </c>
      <c r="B14" s="40"/>
      <c r="C14" s="41"/>
      <c r="D14" s="18" t="s">
        <v>14</v>
      </c>
      <c r="E14" s="11" t="e">
        <f>VALUE(E15)+VALUE(E24)</f>
        <v>#VALUE!</v>
      </c>
      <c r="F14" s="11" t="e">
        <f>VALUE(F15)+VALUE(F24)</f>
        <v>#VALUE!</v>
      </c>
      <c r="G14" s="11">
        <f>ROUND(IFERROR(VALUE(E14)/VALUE(F14),0) * 100, 2)</f>
        <v>0</v>
      </c>
    </row>
    <row r="15" spans="1:17" ht="15" customHeight="1" ns2:dyDescent="0.2">
      <c r="A15" s="7" t="s">
        <v>7</v>
      </c>
      <c r="B15" s="23" t="s">
        <v>15</v>
      </c>
      <c r="C15" s="44"/>
      <c r="D15" s="18" t="s">
        <v>14</v>
      </c>
      <c r="E15" s="11" t="e">
        <f>VALUE(E16)+VALUE(E20)</f>
        <v>#VALUE!</v>
      </c>
      <c r="F15" s="11" t="e">
        <f>VALUE(F16)+VALUE(F20)</f>
        <v>#VALUE!</v>
      </c>
      <c r="G15" s="11">
        <f t="shared" ref="G15:G35" si="0">ROUND(IFERROR(VALUE(E15)/VALUE(F15),0) * 100, 2)</f>
        <v>0</v>
      </c>
    </row>
    <row r="16" spans="1:17" ht="15" customHeight="1" ns2:dyDescent="0.2">
      <c r="A16" s="7">
        <v>1.1000000000000001</v>
      </c>
      <c r="B16" s="23" t="s">
        <v>16</v>
      </c>
      <c r="C16" s="24"/>
      <c r="D16" s="18" t="s">
        <v>14</v>
      </c>
      <c r="E16" s="11" t="e">
        <f>VALUE(E18)+VALUE(E19)</f>
        <v>#VALUE!</v>
      </c>
      <c r="F16" s="11" t="e">
        <f>VALUE(F18)+VALUE(F19)</f>
        <v>#VALUE!</v>
      </c>
      <c r="G16" s="11">
        <f t="shared" si="0"/>
        <v>0</v>
      </c>
    </row>
    <row r="17" spans="1:15" ht="15" customHeight="1" ns2:dyDescent="0.2">
      <c r="A17" s="7"/>
      <c r="B17" s="33"/>
      <c r="C17" s="34"/>
      <c r="D17" s="8" t="s">
        <v>17</v>
      </c>
      <c r="E17" s="11" t="s">
        <v>48</v>
      </c>
      <c r="F17" s="11" t="s">
        <v>49</v>
      </c>
      <c r="G17" s="11">
        <f>ROUND(IFERROR(VALUE(E17)/VALUE(F17),0) * 100, 2)</f>
        <v>0</v>
      </c>
    </row>
    <row r="18" spans="1:15" ht="15" customHeight="1" ns2:dyDescent="0.2">
      <c r="A18" s="6"/>
      <c r="B18" s="35" t="s">
        <v>18</v>
      </c>
      <c r="C18" s="36"/>
      <c r="D18" s="9" t="s">
        <v>14</v>
      </c>
      <c r="E18" s="11" t="s">
        <v>50</v>
      </c>
      <c r="F18" s="11" t="s">
        <v>51</v>
      </c>
      <c r="G18" s="11">
        <f t="shared" si="0"/>
        <v>0</v>
      </c>
      <c r="O18" s="5"/>
    </row>
    <row r="19" spans="1:15" ht="15" customHeight="1" ns2:dyDescent="0.2">
      <c r="A19" s="6"/>
      <c r="B19" s="35" t="s">
        <v>19</v>
      </c>
      <c r="C19" s="36"/>
      <c r="D19" s="9" t="s">
        <v>14</v>
      </c>
      <c r="E19" s="11" t="s">
        <v>52</v>
      </c>
      <c r="F19" s="11" t="s">
        <v>53</v>
      </c>
      <c r="G19" s="11">
        <f t="shared" si="0"/>
        <v>0</v>
      </c>
    </row>
    <row r="20" spans="1:15" ht="14.25" customHeight="1" ns2:dyDescent="0.2">
      <c r="A20" s="7">
        <v>1.2</v>
      </c>
      <c r="B20" s="23" t="s">
        <v>20</v>
      </c>
      <c r="C20" s="24"/>
      <c r="D20" s="17" t="s">
        <v>14</v>
      </c>
      <c r="E20" s="11" t="e">
        <f>VALUE(E22)+VALUE(E23)</f>
        <v>#VALUE!</v>
      </c>
      <c r="F20" s="11" t="e">
        <f>VALUE(F22)+VALUE(F23)</f>
        <v>#VALUE!</v>
      </c>
      <c r="G20" s="11">
        <f t="shared" si="0"/>
        <v>0</v>
      </c>
    </row>
    <row r="21" spans="1:15" ht="15" customHeight="1" ns2:dyDescent="0.2">
      <c r="A21" s="6"/>
      <c r="B21" s="42"/>
      <c r="C21" s="43"/>
      <c r="D21" s="17" t="s">
        <v>17</v>
      </c>
      <c r="E21" s="11" t="s">
        <v>54</v>
      </c>
      <c r="F21" s="11" t="s">
        <v>79</v>
      </c>
      <c r="G21" s="11">
        <f t="shared" si="0"/>
        <v>0</v>
      </c>
    </row>
    <row r="22" spans="1:15" ht="15" customHeight="1" ns2:dyDescent="0.2">
      <c r="A22" s="6"/>
      <c r="B22" s="35" t="s">
        <v>18</v>
      </c>
      <c r="C22" s="36"/>
      <c r="D22" s="9" t="s">
        <v>14</v>
      </c>
      <c r="E22" s="11" t="s">
        <v>55</v>
      </c>
      <c r="F22" s="11" t="s">
        <v>56</v>
      </c>
      <c r="G22" s="11">
        <f t="shared" si="0"/>
        <v>0</v>
      </c>
      <c r="O22" s="5"/>
    </row>
    <row r="23" spans="1:15" ht="15" customHeight="1" ns2:dyDescent="0.2">
      <c r="A23" s="6"/>
      <c r="B23" s="35" t="s">
        <v>19</v>
      </c>
      <c r="C23" s="36"/>
      <c r="D23" s="9" t="s">
        <v>14</v>
      </c>
      <c r="E23" s="11" t="s">
        <v>57</v>
      </c>
      <c r="F23" s="11" t="s">
        <v>58</v>
      </c>
      <c r="G23" s="11">
        <f t="shared" si="0"/>
        <v>0</v>
      </c>
    </row>
    <row r="24" spans="1:15" ht="13.5" customHeight="1" ns2:dyDescent="0.2">
      <c r="A24" s="7" t="s">
        <v>8</v>
      </c>
      <c r="B24" s="23" t="s">
        <v>30</v>
      </c>
      <c r="C24" s="44"/>
      <c r="D24" s="17" t="s">
        <v>14</v>
      </c>
      <c r="E24" s="11" t="e">
        <f>VALUE(E25)+VALUE(E26)</f>
        <v>#VALUE!</v>
      </c>
      <c r="F24" s="11" t="e">
        <f>VALUE(F25)+VALUE(F26)</f>
        <v>#VALUE!</v>
      </c>
      <c r="G24" s="11">
        <f t="shared" si="0"/>
        <v>0</v>
      </c>
    </row>
    <row r="25" spans="1:15" ht="14.25" customHeight="1" ns2:dyDescent="0.2">
      <c r="A25" s="6">
        <v>2.1</v>
      </c>
      <c r="B25" s="35" t="s">
        <v>21</v>
      </c>
      <c r="C25" s="36"/>
      <c r="D25" s="9" t="s">
        <v>14</v>
      </c>
      <c r="E25" s="11" t="s">
        <v>59</v>
      </c>
      <c r="F25" s="11" t="s">
        <v>60</v>
      </c>
      <c r="G25" s="11">
        <f t="shared" si="0"/>
        <v>0</v>
      </c>
    </row>
    <row r="26" spans="1:15" ht="15.75" customHeight="1" ns2:dyDescent="0.2">
      <c r="A26" s="14">
        <v>2.2000000000000002</v>
      </c>
      <c r="B26" s="35" t="s">
        <v>34</v>
      </c>
      <c r="C26" s="36"/>
      <c r="D26" s="9" t="s">
        <v>14</v>
      </c>
      <c r="E26" s="11" t="s">
        <v>61</v>
      </c>
      <c r="F26" s="11" t="s">
        <v>62</v>
      </c>
      <c r="G26" s="11">
        <f t="shared" si="0"/>
        <v>0</v>
      </c>
    </row>
    <row r="27" spans="1:15" ht="13.5" customHeight="1" ns2:dyDescent="0.2">
      <c r="A27" s="21"/>
      <c r="B27" s="47" t="s">
        <v>35</v>
      </c>
      <c r="C27" s="13" t="s">
        <v>9</v>
      </c>
      <c r="D27" s="12" t="s">
        <v>14</v>
      </c>
      <c r="E27" s="11" t="s">
        <v>63</v>
      </c>
      <c r="F27" s="11" t="s">
        <v>64</v>
      </c>
      <c r="G27" s="11">
        <f t="shared" si="0"/>
        <v>0</v>
      </c>
    </row>
    <row r="28" spans="1:15" ht="27" customHeight="1" ns2:dyDescent="0.2">
      <c r="A28" s="22"/>
      <c r="B28" s="48"/>
      <c r="C28" s="10" t="s">
        <v>10</v>
      </c>
      <c r="D28" s="12" t="s">
        <v>14</v>
      </c>
      <c r="E28" s="11" t="s">
        <v>65</v>
      </c>
      <c r="F28" s="11" t="s">
        <v>66</v>
      </c>
      <c r="G28" s="11">
        <f t="shared" si="0"/>
        <v>0</v>
      </c>
    </row>
    <row r="29" spans="1:15" ht="29.25" customHeight="1" ns2:dyDescent="0.2">
      <c r="A29" s="15">
        <v>2.2999999999999998</v>
      </c>
      <c r="B29" s="45" t="s">
        <v>36</v>
      </c>
      <c r="C29" s="46"/>
      <c r="D29" s="16" t="s">
        <v>14</v>
      </c>
      <c r="E29" s="11" t="s">
        <v>67</v>
      </c>
      <c r="F29" s="11" t="s">
        <v>68</v>
      </c>
      <c r="G29" s="11">
        <f t="shared" si="0"/>
        <v>0</v>
      </c>
    </row>
    <row r="30" spans="1:15" ht="15" customHeight="1" ns2:dyDescent="0.2">
      <c r="A30" s="7" t="s">
        <v>11</v>
      </c>
      <c r="B30" s="23" t="s">
        <v>44</v>
      </c>
      <c r="C30" s="24"/>
      <c r="D30" s="17" t="s">
        <v>14</v>
      </c>
      <c r="E30" s="11" t="e">
        <f>VALUE(E31)+VALUE(E32)</f>
        <v>#VALUE!</v>
      </c>
      <c r="F30" s="11" t="e">
        <f>VALUE(F31)+VALUE(F32)</f>
        <v>#VALUE!</v>
      </c>
      <c r="G30" s="11">
        <f t="shared" si="0"/>
        <v>0</v>
      </c>
    </row>
    <row r="31" spans="1:15" ht="13.5" customHeight="1" ns2:dyDescent="0.2">
      <c r="A31" s="6">
        <v>3.1</v>
      </c>
      <c r="B31" s="35" t="s">
        <v>45</v>
      </c>
      <c r="C31" s="36"/>
      <c r="D31" s="9" t="s">
        <v>14</v>
      </c>
      <c r="E31" s="11" t="s">
        <v>69</v>
      </c>
      <c r="F31" s="11" t="s">
        <v>70</v>
      </c>
      <c r="G31" s="11">
        <f>ROUND(IFERROR(VALUE(E31)/VALUE(F31),0) * 100, 2)</f>
        <v>0</v>
      </c>
    </row>
    <row r="32" spans="1:15" ht="14.25" customHeight="1" ns2:dyDescent="0.2">
      <c r="A32" s="6">
        <v>3.2</v>
      </c>
      <c r="B32" s="35" t="s">
        <v>46</v>
      </c>
      <c r="C32" s="36"/>
      <c r="D32" s="9" t="s">
        <v>14</v>
      </c>
      <c r="E32" s="11" t="s">
        <v>71</v>
      </c>
      <c r="F32" s="11" t="s">
        <v>72</v>
      </c>
      <c r="G32" s="11">
        <f t="shared" si="0"/>
        <v>0</v>
      </c>
    </row>
    <row r="33" spans="1:7" ht="15" customHeight="1" ns2:dyDescent="0.2">
      <c r="A33" s="7" t="s">
        <v>22</v>
      </c>
      <c r="B33" s="23" t="s">
        <v>32</v>
      </c>
      <c r="C33" s="24"/>
      <c r="D33" s="17" t="s">
        <v>14</v>
      </c>
      <c r="E33" s="11" t="e">
        <f>VALUE(E34)+VALUE(E35)</f>
        <v>#VALUE!</v>
      </c>
      <c r="F33" s="11" t="e">
        <f>VALUE(F34)+VALUE(F35)</f>
        <v>#VALUE!</v>
      </c>
      <c r="G33" s="11">
        <f t="shared" si="0"/>
        <v>0</v>
      </c>
    </row>
    <row r="34" spans="1:7" ht="15" customHeight="1" ns2:dyDescent="0.2">
      <c r="A34" s="6">
        <v>4.0999999999999996</v>
      </c>
      <c r="B34" s="35" t="s">
        <v>47</v>
      </c>
      <c r="C34" s="36"/>
      <c r="D34" s="9" t="s">
        <v>14</v>
      </c>
      <c r="E34" s="11" t="s">
        <v>73</v>
      </c>
      <c r="F34" s="11" t="s">
        <v>74</v>
      </c>
      <c r="G34" s="11">
        <f t="shared" si="0"/>
        <v>0</v>
      </c>
    </row>
    <row r="35" spans="1:7" ht="17.25" customHeight="1" ns2:dyDescent="0.2">
      <c r="A35" s="6">
        <v>4.2</v>
      </c>
      <c r="B35" s="35" t="s">
        <v>23</v>
      </c>
      <c r="C35" s="36"/>
      <c r="D35" s="9" t="s">
        <v>14</v>
      </c>
      <c r="E35" s="11" t="s">
        <v>75</v>
      </c>
      <c r="F35" s="11" t="s">
        <v>76</v>
      </c>
      <c r="G35" s="11">
        <f t="shared" si="0"/>
        <v>0</v>
      </c>
    </row>
    <row r="36" spans="1:7" ht="15" customHeight="1" ns2:dyDescent="0.2">
      <c r="A36" s="7" t="s">
        <v>24</v>
      </c>
      <c r="B36" s="23" t="s">
        <v>33</v>
      </c>
      <c r="C36" s="24"/>
      <c r="D36" s="17" t="s">
        <v>14</v>
      </c>
      <c r="E36" s="11" t="s">
        <v>77</v>
      </c>
      <c r="F36" s="11" t="s">
        <v>78</v>
      </c>
      <c r="G36" s="11">
        <f>ROUND(IFERROR(VALUE(E36)/VALUE(F36),0) * 100, 2)</f>
        <v>0</v>
      </c>
    </row>
    <row r="38" spans="1:7" ns2:dyDescent="0.2">
      <c r="B38" s="19" t="s">
        <v>38</v>
      </c>
      <c r="C38" s="19"/>
      <c r="F38" s="19" t="s">
        <v>82</v>
      </c>
      <c r="G38" s="19"/>
    </row>
    <row r="39" spans="1:7" ns2:dyDescent="0.2">
      <c r="B39" s="20" t="s">
        <v>39</v>
      </c>
      <c r="C39" s="20"/>
      <c r="F39" s="20" t="s">
        <v>40</v>
      </c>
      <c r="G39" s="20"/>
    </row>
    <row r="40" spans="1:7" ns2:dyDescent="0.2">
      <c r="B40" s="20"/>
      <c r="C40" s="20"/>
      <c r="F40" s="20"/>
      <c r="G40" s="20"/>
    </row>
  </sheetData>
  <mergeCells count="35">
    <mergeCell ref="B33:C33"/>
    <mergeCell ref="B34:C34"/>
    <mergeCell ref="B22:C22"/>
    <mergeCell ref="B32:C32"/>
    <mergeCell ref="B24:C24"/>
    <mergeCell ref="B29:C29"/>
    <mergeCell ref="B26:C26"/>
    <mergeCell ref="B27:B28"/>
    <mergeCell ref="B30:C30"/>
    <mergeCell ref="B31:C31"/>
    <mergeCell ref="B15:C15"/>
    <mergeCell ref="B16:C16"/>
    <mergeCell ref="B20:C20"/>
    <mergeCell ref="B23:C23"/>
    <mergeCell ref="A7:G7"/>
    <mergeCell ref="A11:A12"/>
    <mergeCell ref="B11:C12"/>
    <mergeCell ref="D11:D12"/>
    <mergeCell ref="E11:G11"/>
    <mergeCell ref="A8:G8"/>
    <mergeCell ref="F38:G38"/>
    <mergeCell ref="B38:C38"/>
    <mergeCell ref="B39:C40"/>
    <mergeCell ref="F39:G40"/>
    <mergeCell ref="A27:A28"/>
    <mergeCell ref="A9:G9"/>
    <mergeCell ref="B36:C36"/>
    <mergeCell ref="B17:C17"/>
    <mergeCell ref="B18:C18"/>
    <mergeCell ref="B19:C19"/>
    <mergeCell ref="B13:C13"/>
    <mergeCell ref="A14:C14"/>
    <mergeCell ref="B25:C25"/>
    <mergeCell ref="B21:C21"/>
    <mergeCell ref="B35:C35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2025-10-28T09:38:35Z</dcterms:modified>
</cp:coreProperties>
</file>