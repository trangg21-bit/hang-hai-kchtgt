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H13" i="1" s="1"/>
  <c r="F14" i="1"/>
  <c r="H14" i="1" s="1"/>
  <c r="F15" i="1"/>
  <c r="H15" i="1" s="1"/>
  <c r="F12" i="1"/>
  <c r="H12" i="1" s="1"/>
  <c r="F23" i="1"/>
  <c r="F22" i="1"/>
  <c r="H27" i="1" l="1"/>
  <c r="H26" i="1"/>
  <c r="H25" i="1"/>
  <c r="H20" i="1"/>
  <c r="H19" i="1"/>
  <c r="H18" i="1"/>
  <c r="H17" i="1"/>
  <c r="G17" i="1" l="1"/>
  <c r="E17" i="1"/>
  <c r="D17" i="1"/>
  <c r="F18" i="1" l="1"/>
  <c r="F19" i="1"/>
  <c r="F20" i="1"/>
  <c r="H22" i="1"/>
  <c r="H23" i="1"/>
  <c r="F24" i="1"/>
  <c r="H24" i="1" s="1"/>
  <c r="F25" i="1"/>
  <c r="F26" i="1"/>
  <c r="F27" i="1"/>
  <c r="F17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jx:area(lastCell="H31")</t>
        </r>
      </text>
    </comment>
  </commentList>
</comments>
</file>

<file path=xl/sharedStrings.xml><?xml version="1.0" encoding="utf-8"?>
<sst xmlns="http://schemas.openxmlformats.org/spreadsheetml/2006/main" count="98" uniqueCount="85">
  <si>
    <t>Ngày nhận báo cáo:</t>
  </si>
  <si>
    <t>STT</t>
  </si>
  <si>
    <t>Ngày 05 tháng sau</t>
  </si>
  <si>
    <t>Chỉ tiêu</t>
  </si>
  <si>
    <t>Đơn vị</t>
  </si>
  <si>
    <t>Thực hiện tháng báo cáo</t>
  </si>
  <si>
    <t>A</t>
  </si>
  <si>
    <t>B</t>
  </si>
  <si>
    <t>C</t>
  </si>
  <si>
    <t>3=1+2</t>
  </si>
  <si>
    <t>5=3/4</t>
  </si>
  <si>
    <t>I</t>
  </si>
  <si>
    <t>Tổng số</t>
  </si>
  <si>
    <t>Hàng xuất khẩu</t>
  </si>
  <si>
    <t>Hàng nhập khẩu</t>
  </si>
  <si>
    <t>Hàng nội địa</t>
  </si>
  <si>
    <t>Chia ra</t>
  </si>
  <si>
    <t>Hàng container</t>
  </si>
  <si>
    <t>Hàng lỏng, ga, …</t>
  </si>
  <si>
    <t>Hàng khô, bách hóa</t>
  </si>
  <si>
    <t>II</t>
  </si>
  <si>
    <t>Hàng trung chuyển</t>
  </si>
  <si>
    <t>III</t>
  </si>
  <si>
    <t>Hành khách</t>
  </si>
  <si>
    <t>Lượt</t>
  </si>
  <si>
    <t>Teus</t>
  </si>
  <si>
    <t>Tấn</t>
  </si>
  <si>
    <t>Từ đầu năm 
đến hết tháng trước</t>
  </si>
  <si>
    <t>Lũy kế cùng kỳ 
năm trước</t>
  </si>
  <si>
    <t>Lũy kế từ đầu năm 
đến hết tháng
báo cáo</t>
  </si>
  <si>
    <t>${zobjComReport.hangXuatKhauThucHienThangBaoCao.asText()}</t>
  </si>
  <si>
    <t>${zobjComReport.hangNhapKhauThucHienThangBaoCao.asText()}</t>
  </si>
  <si>
    <t>${zobjComReport.hangNoiDiaThucHienThangBaoCao.asText()}</t>
  </si>
  <si>
    <t>${zobjComReport.hangLongGaThucHienThangBaoCao.asText()}</t>
  </si>
  <si>
    <t>${zobjComReport.hangKhoBachHoaThucHienThangBaoCao.asText()}</t>
  </si>
  <si>
    <t>${zobjComReport.hangTrungChuyenThucHienThangBaoCao.asText()}</t>
  </si>
  <si>
    <t>${zobjComReport.hanhKhachThucHienThangBaoCao.asText()}</t>
  </si>
  <si>
    <t>${zobjComReport.hangContainerTeusThucHienThangBaoCao.asText()}</t>
  </si>
  <si>
    <t>${zobjComReport.hangContainerTanThucHienThangBaoCao.asText()}</t>
  </si>
  <si>
    <t xml:space="preserve">Đơn vị báo cáo: </t>
  </si>
  <si>
    <t>${fkDonViBcText}</t>
  </si>
  <si>
    <t xml:space="preserve">Đơn vị nhận báo cáo: </t>
  </si>
  <si>
    <t>Cục Hàng hải và Đường thủy Việt Nam (Phòng VTDVHH)</t>
  </si>
  <si>
    <t>${zobjDataDefault.hangXuatKhauTuDauNamDenHetThangTruoc.asText()}</t>
  </si>
  <si>
    <t>${zobjDataDefault.hangNhapKhauTuDauNamDenHetThangTruoc.asText()}</t>
  </si>
  <si>
    <t>${zobjDataDefault.hangNoiDiaTuDauNamDenHetThangTruoc.asText()}</t>
  </si>
  <si>
    <t>${zobjDataDefault.hangContainerTeusTuDauNamDenHetThangTruoc.asText()}</t>
  </si>
  <si>
    <t>${zobjDataDefault.hangContainerTanTuDauNamDenHetThangTruoc.asText()}</t>
  </si>
  <si>
    <t>${zobjDataDefault.hangLongGaTuDauNamDenHetThangTruoc.asText()}</t>
  </si>
  <si>
    <t>${zobjDataDefault.hangKhoBachHoaTuDauNamDenHetThangTruoc.asText()}</t>
  </si>
  <si>
    <t>${zobjDataDefault.hangTrungChuyenTuDauNamDenHetThangTruoc.asText()}</t>
  </si>
  <si>
    <t>${zobjDataDefault.hanhKhachTuDauNamDenHetThangTruoc.asText()}</t>
  </si>
  <si>
    <t>${zobjDataDefault.hangXuatKhauLuyKeCungKyNamTruoc.asText()}</t>
  </si>
  <si>
    <t>${zobjDataDefault.hangNhapKhauLuyKeCungKyNamTruoc.asText()}</t>
  </si>
  <si>
    <t>${zobjDataDefault.hangNoiDiaLuyKeCungKyNamTruoc.asText()}</t>
  </si>
  <si>
    <t>${zobjDataDefault.hangContainerTeusLuyKeCungKyNamTruoc.asText()}</t>
  </si>
  <si>
    <t>${zobjDataDefault.hangContainerTanLuyKeCungKyNamTruoc.asText()}</t>
  </si>
  <si>
    <t>${zobjDataDefault.hangLongGaLuyKeCungKyNamTruoc.asText()}</t>
  </si>
  <si>
    <t>${zobjDataDefault.hangKhoBachHoaLuyKeCungKyNamTruoc.asText()}</t>
  </si>
  <si>
    <t>${zobjDataDefault.hangTrungChuyenLuyKeCungKyNamTruoc.asText()}</t>
  </si>
  <si>
    <t>${zobjDataDefault.hanhKhachLuyKeCungKyNamTruoc.asText()}</t>
  </si>
  <si>
    <t>So sánh cùng
kỳ năm trước
(%)</t>
  </si>
  <si>
    <t>Người lập báo cáo</t>
  </si>
  <si>
    <t>(Ký, ghi rõ họ tên)</t>
  </si>
  <si>
    <t>…., ngày….tháng….năm…</t>
  </si>
  <si>
    <t>(Thủ trưởng đơn vị ký, đóng dấu)</t>
  </si>
  <si>
    <t>Biểu số 19-T</t>
  </si>
  <si>
    <t>KHỐI LƯỢNG HÀNG HÓA, HÀNH KHÁCH THÔNG QUA CẢNG BIỂN
BẰNG ĐỘI TÀU BIỂN VIỆT NAM VÀ PHƯƠNG TIỆN THỦY NỘI ĐỊA</t>
  </si>
  <si>
    <t>Tháng: ${bcMaText}</t>
  </si>
  <si>
    <t>IV</t>
  </si>
  <si>
    <t>Thông qua cảng biển bằng tàu biển Việt Nam</t>
  </si>
  <si>
    <t>Hàng lỏng, ga…</t>
  </si>
  <si>
    <t>Thông qua cảng biển bằng Phương tiện thủy nội địa</t>
  </si>
  <si>
    <t>${zobjDataDefault.pttndHangContainerTeusTuDauNamDenHetThangTruoc.asText()}</t>
  </si>
  <si>
    <t>${zobjDataDefault.pttndHangContainerTeusLuyKeCungKyNamTruoc.asText()}</t>
  </si>
  <si>
    <t>${zobjComReport.pttndHangContainerTeusThucHienThangBaoCao.asText()}</t>
  </si>
  <si>
    <t>${zobjComReport.pttndHangContainerTanThucHienThangBaoCao.asText()}</t>
  </si>
  <si>
    <t>${zobjComReport.pttndHangLongGaThucHienThangBaoCao.asText()}</t>
  </si>
  <si>
    <t>${zobjComReport.pttndHangKhoBachHoaThucHienThangBaoCao.asText()}</t>
  </si>
  <si>
    <t>${zobjDataDefault.pttndHangKhoBachHoaTuDauNamDenHetThangTruoc.asText()}</t>
  </si>
  <si>
    <t>${zobjDataDefault.pttndHangLongGaTuDauNamDenHetThangTruoc.asText()}</t>
  </si>
  <si>
    <t>${zobjDataDefault.pttndHangContainerTanTuDauNamDenHetThangTruoc.asText()}</t>
  </si>
  <si>
    <t>${zobjDataDefault.pttndHangContainerTanLuyKeCungKyNamTruoc.asText()}</t>
  </si>
  <si>
    <t>${zobjDataDefault.pttndHangLongGaLuyKeCungKyNamTruoc.asText()}</t>
  </si>
  <si>
    <t>${zobjDataDefault.pttndHangKhoBachHoaLuyKeCungKyNamTruoc.asText()}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</si>
</sst>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wrapText="1"/>
    </xf>
    <xf numFmtId="0" fontId="4" fillId="0" borderId="0" xfId="0" applyNumberFormat="1" applyFont="1" applyAlignment="1">
      <alignment vertical="center"/>
    </xf>
    <xf numFmtId="0" fontId="5" fillId="0" borderId="0" xfId="0" applyNumberFormat="1" applyFont="1"/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I31"/>
  <sheetViews>
    <sheetView tabSelected="1" zoomScaleNormal="100" zoomScaleSheetLayoutView="115" workbookViewId="0">
      <selection sqref="A1:C1"/>
    </sheetView>
  </sheetViews>
  <sheetFormatPr defaultRowHeight="16.5" ns2:dyDescent="0.25"/>
  <cols>
    <col min="1" max="1" width="4.42578125" style="1" customWidth="1"/>
    <col min="2" max="2" width="16.5703125" style="1" customWidth="1"/>
    <col min="3" max="3" width="6.5703125" style="1" customWidth="1"/>
    <col min="4" max="4" width="21" style="1" customWidth="1"/>
    <col min="5" max="5" width="21.140625" style="1" customWidth="1"/>
    <col min="6" max="6" width="20.5703125" style="19" customWidth="1"/>
    <col min="7" max="7" width="18.140625" style="1" customWidth="1"/>
    <col min="8" max="8" width="13.140625" style="19" customWidth="1"/>
    <col min="9" max="16384" width="9.140625" style="1"/>
  </cols>
  <sheetData>
    <row r="1" spans="1:9" ns2:dyDescent="0.25">
      <c r="A1" s="27" t="s">
        <v>66</v>
      </c>
      <c r="B1" s="27"/>
      <c r="C1" s="27"/>
      <c r="D1" s="3"/>
      <c r="F1" s="15" t="s">
        <v>39</v>
      </c>
      <c r="G1" s="12"/>
      <c r="H1" s="15"/>
    </row>
    <row r="2" spans="1:9" ns2:dyDescent="0.25">
      <c r="A2" s="28" t="s">
        <v>0</v>
      </c>
      <c r="B2" s="28"/>
      <c r="C2" s="28"/>
      <c r="D2" s="3"/>
      <c r="F2" s="16" t="s">
        <v>40</v>
      </c>
    </row>
    <row r="3" spans="1:9" ns2:dyDescent="0.25">
      <c r="A3" s="28" t="s">
        <v>2</v>
      </c>
      <c r="B3" s="28"/>
      <c r="C3" s="28"/>
      <c r="D3" s="3"/>
      <c r="E3" s="3"/>
      <c r="F3" s="29" t="s">
        <v>41</v>
      </c>
      <c r="G3" s="29"/>
      <c r="H3" s="29"/>
      <c r="I3" s="29"/>
    </row>
    <row r="4" spans="1:9" ns2:dyDescent="0.25">
      <c r="A4" s="10"/>
      <c r="B4" s="10"/>
      <c r="C4" s="10"/>
      <c r="D4" s="3"/>
      <c r="E4" s="3"/>
      <c r="F4" s="16" t="s">
        <v>42</v>
      </c>
      <c r="G4" s="3"/>
      <c r="H4" s="16"/>
    </row>
    <row r="5" spans="1:9" ns2:dyDescent="0.25">
      <c r="A5" s="10"/>
      <c r="B5" s="10"/>
      <c r="C5" s="10"/>
      <c r="D5" s="3"/>
      <c r="E5" s="3"/>
      <c r="F5" s="16"/>
      <c r="G5" s="3"/>
      <c r="H5" s="16"/>
    </row>
    <row r="6" spans="1:9" ht="34.5" customHeight="1" ns2:dyDescent="0.25">
      <c r="A6" s="33" t="s">
        <v>67</v>
      </c>
      <c r="B6" s="34"/>
      <c r="C6" s="34"/>
      <c r="D6" s="34"/>
      <c r="E6" s="34"/>
      <c r="F6" s="34"/>
      <c r="G6" s="34"/>
      <c r="H6" s="34"/>
    </row>
    <row r="7" spans="1:9" ns2:dyDescent="0.25">
      <c r="A7" s="35" t="s">
        <v>68</v>
      </c>
      <c r="B7" s="36"/>
      <c r="C7" s="36"/>
      <c r="D7" s="36"/>
      <c r="E7" s="36"/>
      <c r="F7" s="36"/>
      <c r="G7" s="36"/>
      <c r="H7" s="36"/>
    </row>
    <row r="9" spans="1:9" s="2" customFormat="1" ht="38.25" ns2:dyDescent="0.25">
      <c r="A9" s="4" t="s">
        <v>1</v>
      </c>
      <c r="B9" s="4" t="s">
        <v>3</v>
      </c>
      <c r="C9" s="5" t="s">
        <v>4</v>
      </c>
      <c r="D9" s="5" t="s">
        <v>27</v>
      </c>
      <c r="E9" s="5" t="s">
        <v>5</v>
      </c>
      <c r="F9" s="17" t="s">
        <v>29</v>
      </c>
      <c r="G9" s="5" t="s">
        <v>28</v>
      </c>
      <c r="H9" s="17" t="s">
        <v>61</v>
      </c>
    </row>
    <row r="10" spans="1:9" s="2" customFormat="1" ns2:dyDescent="0.25">
      <c r="A10" s="4" t="s">
        <v>6</v>
      </c>
      <c r="B10" s="4" t="s">
        <v>7</v>
      </c>
      <c r="C10" s="5" t="s">
        <v>8</v>
      </c>
      <c r="D10" s="5">
        <v>1</v>
      </c>
      <c r="E10" s="5">
        <v>2</v>
      </c>
      <c r="F10" s="18" t="s">
        <v>9</v>
      </c>
      <c r="G10" s="4">
        <v>4</v>
      </c>
      <c r="H10" s="17" t="s">
        <v>10</v>
      </c>
    </row>
    <row r="11" spans="1:9" s="2" customFormat="1" ns2:dyDescent="0.25">
      <c r="A11" s="4" t="s">
        <v>11</v>
      </c>
      <c r="B11" s="37" t="s">
        <v>72</v>
      </c>
      <c r="C11" s="38"/>
      <c r="D11" s="38"/>
      <c r="E11" s="38"/>
      <c r="F11" s="38"/>
      <c r="G11" s="38"/>
      <c r="H11" s="39"/>
    </row>
    <row r="12" spans="1:9" s="2" customFormat="1" ht="15" customHeight="1" ns2:dyDescent="0.25">
      <c r="A12" s="40">
        <v>1</v>
      </c>
      <c r="B12" s="42" t="s">
        <v>17</v>
      </c>
      <c r="C12" s="22" t="s">
        <v>25</v>
      </c>
      <c r="D12" s="44" t="s">
        <v>73</v>
      </c>
      <c r="E12" s="11" t="s">
        <v>75</v>
      </c>
      <c r="F12" s="45" t="e">
        <f>VALUE(D12)+VALUE(E12)</f>
        <v>#VALUE!</v>
      </c>
      <c r="G12" s="11" t="s">
        <v>74</v>
      </c>
      <c r="H12" s="13">
        <f>ROUND(IFERROR(VALUE(F12) / VALUE(G12), 0) * 100, 2)</f>
        <v>0</v>
      </c>
    </row>
    <row r="13" spans="1:9" s="2" customFormat="1" ht="15" customHeight="1" ns2:dyDescent="0.25">
      <c r="A13" s="41"/>
      <c r="B13" s="43"/>
      <c r="C13" s="22" t="s">
        <v>26</v>
      </c>
      <c r="D13" s="44" t="s">
        <v>81</v>
      </c>
      <c r="E13" s="11" t="s">
        <v>76</v>
      </c>
      <c r="F13" s="46" t="e">
        <f>VALUE(D13)+VALUE(E13)</f>
        <v>#VALUE!</v>
      </c>
      <c r="G13" s="11" t="s">
        <v>82</v>
      </c>
      <c r="H13" s="13">
        <f t="shared" ref="H13:H15" si="0">ROUND(IFERROR(VALUE(F13) / VALUE(G13), 0) * 100, 2)</f>
        <v>0</v>
      </c>
    </row>
    <row r="14" spans="1:9" s="2" customFormat="1" ht="15" customHeight="1" ns2:dyDescent="0.25">
      <c r="A14" s="21">
        <v>2</v>
      </c>
      <c r="B14" s="20" t="s">
        <v>71</v>
      </c>
      <c r="C14" s="22" t="s">
        <v>26</v>
      </c>
      <c r="D14" s="44" t="s">
        <v>80</v>
      </c>
      <c r="E14" s="11" t="s">
        <v>77</v>
      </c>
      <c r="F14" s="46" t="e">
        <f>VALUE(D14)+VALUE(E14)</f>
        <v>#VALUE!</v>
      </c>
      <c r="G14" s="11" t="s">
        <v>83</v>
      </c>
      <c r="H14" s="13">
        <f t="shared" si="0"/>
        <v>0</v>
      </c>
    </row>
    <row r="15" spans="1:9" s="2" customFormat="1" ht="15" customHeight="1" ns2:dyDescent="0.25">
      <c r="A15" s="21">
        <v>3</v>
      </c>
      <c r="B15" s="20" t="s">
        <v>19</v>
      </c>
      <c r="C15" s="22" t="s">
        <v>26</v>
      </c>
      <c r="D15" s="13" t="s">
        <v>79</v>
      </c>
      <c r="E15" s="11" t="s">
        <v>78</v>
      </c>
      <c r="F15" s="46" t="e">
        <f>VALUE(D15)+VALUE(E15)</f>
        <v>#VALUE!</v>
      </c>
      <c r="G15" s="11" t="s">
        <v>84</v>
      </c>
      <c r="H15" s="13">
        <f t="shared" si="0"/>
        <v>0</v>
      </c>
    </row>
    <row r="16" spans="1:9" ns2:dyDescent="0.25">
      <c r="A16" s="4" t="s">
        <v>20</v>
      </c>
      <c r="B16" s="32" t="s">
        <v>70</v>
      </c>
      <c r="C16" s="32"/>
      <c r="D16" s="32"/>
      <c r="E16" s="32"/>
      <c r="F16" s="32"/>
      <c r="G16" s="32"/>
      <c r="H16" s="32"/>
    </row>
    <row r="17" spans="1:8" ht="16.5" customHeight="1" ns2:dyDescent="0.25">
      <c r="A17" s="4"/>
      <c r="B17" s="6" t="s">
        <v>12</v>
      </c>
      <c r="C17" s="7" t="s">
        <v>26</v>
      </c>
      <c r="D17" s="13" t="e">
        <f>SUMPRODUCT(VALUE(D18:D20))</f>
        <v>#VALUE!</v>
      </c>
      <c r="E17" s="13" t="e">
        <f>SUMPRODUCT(VALUE(E18:E20))</f>
        <v>#VALUE!</v>
      </c>
      <c r="F17" s="13" t="e">
        <f>VALUE(D17)+VALUE(E17)</f>
        <v>#VALUE!</v>
      </c>
      <c r="G17" s="13" t="e">
        <f>SUMPRODUCT(VALUE(G18:G20))</f>
        <v>#VALUE!</v>
      </c>
      <c r="H17" s="13">
        <f>ROUND(IFERROR(VALUE(F17) / VALUE(G17), 0) * 100, 2)</f>
        <v>0</v>
      </c>
    </row>
    <row r="18" spans="1:8" ht="15" customHeight="1" ns2:dyDescent="0.25">
      <c r="A18" s="7">
        <v>1</v>
      </c>
      <c r="B18" s="8" t="s">
        <v>13</v>
      </c>
      <c r="C18" s="7" t="s">
        <v>26</v>
      </c>
      <c r="D18" s="13" t="s">
        <v>43</v>
      </c>
      <c r="E18" s="11" t="s">
        <v>30</v>
      </c>
      <c r="F18" s="13" t="e">
        <f t="shared" ref="F18:F27" si="1">VALUE(D18)+VALUE(E18)</f>
        <v>#VALUE!</v>
      </c>
      <c r="G18" s="11" t="s">
        <v>52</v>
      </c>
      <c r="H18" s="13">
        <f>ROUND(IFERROR(VALUE(F18) / VALUE(G18), 0) * 100, 2)</f>
        <v>0</v>
      </c>
    </row>
    <row r="19" spans="1:8" ht="15.75" customHeight="1" ns2:dyDescent="0.25">
      <c r="A19" s="7">
        <v>2</v>
      </c>
      <c r="B19" s="8" t="s">
        <v>14</v>
      </c>
      <c r="C19" s="7" t="s">
        <v>26</v>
      </c>
      <c r="D19" s="13" t="s">
        <v>44</v>
      </c>
      <c r="E19" s="11" t="s">
        <v>31</v>
      </c>
      <c r="F19" s="13" t="e">
        <f t="shared" si="1"/>
        <v>#VALUE!</v>
      </c>
      <c r="G19" s="11" t="s">
        <v>53</v>
      </c>
      <c r="H19" s="13">
        <f>ROUND(IFERROR(VALUE(F19) / VALUE(G19), 0) * 100, 2)</f>
        <v>0</v>
      </c>
    </row>
    <row r="20" spans="1:8" ht="15" customHeight="1" ns2:dyDescent="0.25">
      <c r="A20" s="7">
        <v>3</v>
      </c>
      <c r="B20" s="8" t="s">
        <v>15</v>
      </c>
      <c r="C20" s="7" t="s">
        <v>26</v>
      </c>
      <c r="D20" s="13" t="s">
        <v>45</v>
      </c>
      <c r="E20" s="11" t="s">
        <v>32</v>
      </c>
      <c r="F20" s="13" t="e">
        <f t="shared" si="1"/>
        <v>#VALUE!</v>
      </c>
      <c r="G20" s="11" t="s">
        <v>54</v>
      </c>
      <c r="H20" s="13">
        <f>ROUND(IFERROR(VALUE(F20) / VALUE(G20), 0) * 100, 2)</f>
        <v>0</v>
      </c>
    </row>
    <row r="21" spans="1:8" ns2:dyDescent="0.25">
      <c r="A21" s="7"/>
      <c r="B21" s="8" t="s">
        <v>16</v>
      </c>
      <c r="C21" s="7"/>
      <c r="D21" s="14"/>
      <c r="E21" s="9"/>
      <c r="F21" s="13"/>
      <c r="G21" s="9"/>
      <c r="H21" s="13"/>
    </row>
    <row r="22" spans="1:8" ht="15.75" customHeight="1" ns2:dyDescent="0.25">
      <c r="A22" s="31">
        <v>1</v>
      </c>
      <c r="B22" s="30" t="s">
        <v>17</v>
      </c>
      <c r="C22" s="7" t="s">
        <v>25</v>
      </c>
      <c r="D22" s="13" t="s">
        <v>46</v>
      </c>
      <c r="E22" s="11" t="s">
        <v>37</v>
      </c>
      <c r="F22" s="11" t="e">
        <f>VALUE(D22)+VALUE(E22)</f>
        <v>#VALUE!</v>
      </c>
      <c r="G22" s="11" t="s">
        <v>55</v>
      </c>
      <c r="H22" s="13">
        <f t="shared" ref="H22:H27" si="2">ROUND(IFERROR(VALUE(F22) / VALUE(G22), 0) * 100, 2)</f>
        <v>0</v>
      </c>
    </row>
    <row r="23" spans="1:8" ht="13.5" customHeight="1" ns2:dyDescent="0.25">
      <c r="A23" s="31"/>
      <c r="B23" s="30"/>
      <c r="C23" s="7" t="s">
        <v>26</v>
      </c>
      <c r="D23" s="13" t="s">
        <v>47</v>
      </c>
      <c r="E23" s="11" t="s">
        <v>38</v>
      </c>
      <c r="F23" s="11" t="e">
        <f>VALUE(D23)+VALUE(E23)</f>
        <v>#VALUE!</v>
      </c>
      <c r="G23" s="11" t="s">
        <v>56</v>
      </c>
      <c r="H23" s="13">
        <f t="shared" si="2"/>
        <v>0</v>
      </c>
    </row>
    <row r="24" spans="1:8" ht="15" customHeight="1" ns2:dyDescent="0.25">
      <c r="A24" s="7">
        <v>2</v>
      </c>
      <c r="B24" s="8" t="s">
        <v>18</v>
      </c>
      <c r="C24" s="7" t="s">
        <v>26</v>
      </c>
      <c r="D24" s="13" t="s">
        <v>48</v>
      </c>
      <c r="E24" s="11" t="s">
        <v>33</v>
      </c>
      <c r="F24" s="13" t="e">
        <f t="shared" si="1"/>
        <v>#VALUE!</v>
      </c>
      <c r="G24" s="11" t="s">
        <v>57</v>
      </c>
      <c r="H24" s="13">
        <f t="shared" si="2"/>
        <v>0</v>
      </c>
    </row>
    <row r="25" spans="1:8" ht="15.75" customHeight="1" ns2:dyDescent="0.25">
      <c r="A25" s="7">
        <v>3</v>
      </c>
      <c r="B25" s="8" t="s">
        <v>19</v>
      </c>
      <c r="C25" s="7" t="s">
        <v>26</v>
      </c>
      <c r="D25" s="13" t="s">
        <v>49</v>
      </c>
      <c r="E25" s="11" t="s">
        <v>34</v>
      </c>
      <c r="F25" s="13" t="e">
        <f t="shared" si="1"/>
        <v>#VALUE!</v>
      </c>
      <c r="G25" s="11" t="s">
        <v>58</v>
      </c>
      <c r="H25" s="13">
        <f t="shared" si="2"/>
        <v>0</v>
      </c>
    </row>
    <row r="26" spans="1:8" ht="15.75" customHeight="1" ns2:dyDescent="0.25">
      <c r="A26" s="4" t="s">
        <v>22</v>
      </c>
      <c r="B26" s="6" t="s">
        <v>21</v>
      </c>
      <c r="C26" s="7" t="s">
        <v>26</v>
      </c>
      <c r="D26" s="13" t="s">
        <v>50</v>
      </c>
      <c r="E26" s="11" t="s">
        <v>35</v>
      </c>
      <c r="F26" s="13" t="e">
        <f t="shared" si="1"/>
        <v>#VALUE!</v>
      </c>
      <c r="G26" s="11" t="s">
        <v>59</v>
      </c>
      <c r="H26" s="13">
        <f t="shared" si="2"/>
        <v>0</v>
      </c>
    </row>
    <row r="27" spans="1:8" ht="14.25" customHeight="1" ns2:dyDescent="0.25">
      <c r="A27" s="4" t="s">
        <v>69</v>
      </c>
      <c r="B27" s="6" t="s">
        <v>23</v>
      </c>
      <c r="C27" s="7" t="s">
        <v>24</v>
      </c>
      <c r="D27" s="13" t="s">
        <v>51</v>
      </c>
      <c r="E27" s="11" t="s">
        <v>36</v>
      </c>
      <c r="F27" s="13" t="e">
        <f t="shared" si="1"/>
        <v>#VALUE!</v>
      </c>
      <c r="G27" s="11" t="s">
        <v>60</v>
      </c>
      <c r="H27" s="13">
        <f t="shared" si="2"/>
        <v>0</v>
      </c>
    </row>
    <row r="29" spans="1:8" ns2:dyDescent="0.25">
      <c r="B29" s="23" t="s">
        <v>62</v>
      </c>
      <c r="C29" s="23"/>
      <c r="D29" s="23"/>
      <c r="F29" s="25" t="s">
        <v>64</v>
      </c>
      <c r="G29" s="25"/>
      <c r="H29" s="25"/>
    </row>
    <row r="30" spans="1:8" ns2:dyDescent="0.25">
      <c r="B30" s="24" t="s">
        <v>63</v>
      </c>
      <c r="C30" s="24"/>
      <c r="D30" s="24"/>
      <c r="F30" s="26" t="s">
        <v>65</v>
      </c>
      <c r="G30" s="26"/>
      <c r="H30" s="26"/>
    </row>
    <row r="31" spans="1:8" ns2:dyDescent="0.25">
      <c r="B31" s="24"/>
      <c r="C31" s="24"/>
      <c r="D31" s="24"/>
      <c r="F31" s="26"/>
      <c r="G31" s="26"/>
      <c r="H31" s="26"/>
    </row>
  </sheetData>
  <mergeCells count="16">
    <mergeCell ref="B29:D29"/>
    <mergeCell ref="B30:D31"/>
    <mergeCell ref="F29:H29"/>
    <mergeCell ref="F30:H31"/>
    <mergeCell ref="A1:C1"/>
    <mergeCell ref="A2:C2"/>
    <mergeCell ref="A3:C3"/>
    <mergeCell ref="F3:I3"/>
    <mergeCell ref="B22:B23"/>
    <mergeCell ref="A22:A23"/>
    <mergeCell ref="B16:H16"/>
    <mergeCell ref="A6:H6"/>
    <mergeCell ref="A7:H7"/>
    <mergeCell ref="B11:H11"/>
    <mergeCell ref="A12:A13"/>
    <mergeCell ref="B12:B13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2025-10-20T09:18:37Z</dcterms:modified>
</cp:coreProperties>
</file>