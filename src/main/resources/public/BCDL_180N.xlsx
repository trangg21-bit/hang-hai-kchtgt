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1" l="1"/>
  <c r="F40" i="1"/>
  <c r="E40" i="1"/>
  <c r="F42" i="1"/>
  <c r="E42" i="1"/>
  <c r="F19" i="1" l="1"/>
  <c r="F18" i="1"/>
  <c r="F17" i="1"/>
  <c r="F16" i="1"/>
  <c r="E19" i="1"/>
  <c r="E18" i="1"/>
  <c r="E17" i="1"/>
  <c r="E16" i="1"/>
  <c r="E15" i="1" l="1"/>
  <c r="F49" i="1" l="1"/>
  <c r="E49" i="1"/>
  <c r="F33" i="1"/>
  <c r="E33" i="1"/>
  <c r="F29" i="1"/>
  <c r="E29" i="1"/>
  <c r="F22" i="1"/>
  <c r="E22" i="1"/>
  <c r="F21" i="1"/>
  <c r="E21" i="1"/>
  <c r="G53" i="1"/>
  <c r="G51" i="1"/>
  <c r="G41" i="1"/>
  <c r="G42" i="1"/>
  <c r="G43" i="1"/>
  <c r="G44" i="1"/>
  <c r="G45" i="1"/>
  <c r="G46" i="1"/>
  <c r="G47" i="1"/>
  <c r="G48" i="1"/>
  <c r="G50" i="1"/>
  <c r="G52" i="1"/>
  <c r="G39" i="1"/>
  <c r="G16" i="1"/>
  <c r="G17" i="1"/>
  <c r="G18" i="1"/>
  <c r="G19" i="1"/>
  <c r="G23" i="1"/>
  <c r="G24" i="1"/>
  <c r="G25" i="1"/>
  <c r="G26" i="1"/>
  <c r="G27" i="1"/>
  <c r="G28" i="1"/>
  <c r="G30" i="1"/>
  <c r="G31" i="1"/>
  <c r="G32" i="1"/>
  <c r="G34" i="1"/>
  <c r="G35" i="1"/>
  <c r="G36" i="1"/>
  <c r="G37" i="1"/>
  <c r="G49" i="1" l="1"/>
  <c r="G33" i="1"/>
  <c r="G29" i="1"/>
  <c r="G22" i="1"/>
  <c r="G21" i="1"/>
  <c r="F15" i="1" l="1"/>
  <c r="G15" i="1" s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jx:area(lastCell="G58")</t>
        </r>
      </text>
    </comment>
  </commentList>
</comments>
</file>

<file path=xl/sharedStrings.xml><?xml version="1.0" encoding="utf-8"?>
<sst xmlns="http://schemas.openxmlformats.org/spreadsheetml/2006/main" count="151" uniqueCount="110">
  <si>
    <t>KHỐI LƯỢNG HÀNG HÓA, HÀNH KHÁCH THÔNG QUA CẢNG BIỂN</t>
  </si>
  <si>
    <t>STT</t>
  </si>
  <si>
    <t>Chỉ tiêu</t>
  </si>
  <si>
    <t>Đơn vị tính</t>
  </si>
  <si>
    <t>A</t>
  </si>
  <si>
    <t>B</t>
  </si>
  <si>
    <t>C</t>
  </si>
  <si>
    <t>Khối lượng hàng hóa, hành khách thông qua cảng</t>
  </si>
  <si>
    <t>I</t>
  </si>
  <si>
    <t>Hàng hóa thông qua cảng biển</t>
  </si>
  <si>
    <t>Tổng số</t>
  </si>
  <si>
    <t>Hàng nhập khẩu</t>
  </si>
  <si>
    <t>Hàng xuất khẩu</t>
  </si>
  <si>
    <t>Hàng nội địa</t>
  </si>
  <si>
    <t>Hàng quá cảnh Xếp dỡ</t>
  </si>
  <si>
    <t>Trong đó</t>
  </si>
  <si>
    <t>Container</t>
  </si>
  <si>
    <t>Tấn</t>
  </si>
  <si>
    <t>Teus</t>
  </si>
  <si>
    <t>Xuất khẩu</t>
  </si>
  <si>
    <t>Nhập khẩu</t>
  </si>
  <si>
    <t>Nội địa</t>
  </si>
  <si>
    <t>Hàng lỏng</t>
  </si>
  <si>
    <t>Nhâp khẩu</t>
  </si>
  <si>
    <t>Hàng khô, tổng hợp</t>
  </si>
  <si>
    <t>II</t>
  </si>
  <si>
    <t>Hàng hóa thông qua bằng tàu biển</t>
  </si>
  <si>
    <t>Hàng hóa thông qua bằng PTTNĐ</t>
  </si>
  <si>
    <t>Hàng vận chuyển bằng PTTNĐ trừ PTTNĐ VR-SB</t>
  </si>
  <si>
    <t>III</t>
  </si>
  <si>
    <t>Từ cảng biển - cảng biển</t>
  </si>
  <si>
    <t>Từ cảng biển - cảng thủy nội địa và ngược lại</t>
  </si>
  <si>
    <t>Hàng quá cảnh không xếp dỡ</t>
  </si>
  <si>
    <t>Lượt người</t>
  </si>
  <si>
    <t>Hành khách thông qua bằng đội tàu biển nước ngoài</t>
  </si>
  <si>
    <t>Hành khách thông qua bằng phương tiện thủy nội địa</t>
  </si>
  <si>
    <t>Hành khách thông qua bằng đội tàu biển VN</t>
  </si>
  <si>
    <t>Đơn vị báo cáo:</t>
  </si>
  <si>
    <t>Đơn vị nhận báo cáo:</t>
  </si>
  <si>
    <t>${fkDonViBcText}</t>
  </si>
  <si>
    <t>Cục Hàng hải và Đường thủy Việt Nam</t>
  </si>
  <si>
    <t xml:space="preserve"> (Phòng Vận tải - An toàn và phương tiện)</t>
  </si>
  <si>
    <t>Hành khách tuyến từ bờ ra đảo</t>
  </si>
  <si>
    <t>Hàng hóa tuyến từ bờ ra đảo</t>
  </si>
  <si>
    <t>Khu neo đậu, chuyển tải</t>
  </si>
  <si>
    <t>Tàu thuyền có trọng tải từ 200 tấn trở xuống</t>
  </si>
  <si>
    <t>IV</t>
  </si>
  <si>
    <t>Hành khách (3.1 + 3.2 + 3.3)</t>
  </si>
  <si>
    <t>Khối lượng cùng kỳ năm trước</t>
  </si>
  <si>
    <t>…, ngày … tháng … năm</t>
  </si>
  <si>
    <t>(Thủ trưởng đơn vị ký, đóng dấu</t>
  </si>
  <si>
    <r>
      <t xml:space="preserve">Người lập báo cáo
</t>
    </r>
    <r>
      <rPr>
        <i/>
        <sz val="10"/>
        <color theme="1"/>
        <rFont val="Times New Roman"/>
        <family val="1"/>
      </rPr>
      <t>(Ký, ghi rõ họ tên)</t>
    </r>
  </si>
  <si>
    <t>Phân loại khối lượng hàng hóa thông qua cảng biển</t>
  </si>
  <si>
    <t>Thời gian báo cáo: ${bcThoiGian}</t>
  </si>
  <si>
    <t>Thời gian so sánh: ${ssThoiGian}</t>
  </si>
  <si>
    <t>3=1/2</t>
  </si>
  <si>
    <t>${zobjComReport.containerXuatKhauTanKyLuaChon.asText()}</t>
  </si>
  <si>
    <t>${zobjComReport.containerXuatKhauTanCungKyNamTruoc.asText()}</t>
  </si>
  <si>
    <t>${zobjComReport.containerXuatKhauTeusKyLuaChon.asText()}</t>
  </si>
  <si>
    <t>${zobjComReport.containerXuatKhauTeusCungKyNamTruoc.asText()}</t>
  </si>
  <si>
    <t>${zobjComReport.containerNhapKhauTanKyLuaChon.asText()}</t>
  </si>
  <si>
    <t>${zobjComReport.containerNhapKhauTanCungKyNamTruoc.asText()}</t>
  </si>
  <si>
    <t>${zobjComReport.containerNhapKhauTeusKyLuaChon.asText()}</t>
  </si>
  <si>
    <t>${zobjComReport.containerNhapKhauTeusCungKyNamTruoc.asText()}</t>
  </si>
  <si>
    <t>${zobjComReport.containerNoiDiaTanKyLuaChon.asText()}</t>
  </si>
  <si>
    <t>${zobjComReport.containerNoiDiaTeusKyLuaChon.asText()}</t>
  </si>
  <si>
    <t>${zobjComReport.containerNoiDiaTeusCungKyNamTruoc.asText()}</t>
  </si>
  <si>
    <t>${zobjComReport.hangLongXuatKhauKyLuaChon.asText()}</t>
  </si>
  <si>
    <t>${zobjComReport.hangLongXuatKhauCungKyNamTruoc.asText()}</t>
  </si>
  <si>
    <t>${zobjComReport.hangLongNhapKhauKyLuaChon.asText()}</t>
  </si>
  <si>
    <t>${zobjComReport.hangLongNhapKhauCungKyNamTruoc.asText()}</t>
  </si>
  <si>
    <t>${zobjComReport.hangLongNoiDiaKyLuaChon.asText()}</t>
  </si>
  <si>
    <t>${zobjComReport.hangLongNoiDiaCungKyNamTruoc.asText()}</t>
  </si>
  <si>
    <t>${zobjComReport.hangKhoTongHopXuatKhauKyLuaChon.asText()}</t>
  </si>
  <si>
    <t>${zobjComReport.hangKhoTongHopXuatKhauCungKyNamTruoc.asText()}</t>
  </si>
  <si>
    <t>${zobjComReport.hangKhoTongHopNhapKhauKyLuaChon.asText()}</t>
  </si>
  <si>
    <t>${zobjComReport.hangKhoTongHopNhapKhauCungKyNamTruoc.asText()}</t>
  </si>
  <si>
    <t>${zobjComReport.hangKhoTongHopNoiDiaKyLuaChon.asText()}</t>
  </si>
  <si>
    <t>${zobjComReport.hangKhoTongHopNoiDiaCungKyNamTruoc.asText()}</t>
  </si>
  <si>
    <t>${zobjComReport.hangQuaCanhXepDoKyLuaChon.asText()}</t>
  </si>
  <si>
    <t>${zobjComReport.hangQuaCanhXepDoCungKyNamTruoc.asText()}</t>
  </si>
  <si>
    <t>${zobjComReport.hangHoaThongQuaBangTauBienCungKyNamTruoc.asText()}</t>
  </si>
  <si>
    <t>${zobjComReport.hangHoaThongQuaBangTauBienKyLuaChon.asText()}</t>
  </si>
  <si>
    <t>${zobjComReport.hangVanChuyenBangPttndTruPttndVrSbKyLuaChon.asText()}</t>
  </si>
  <si>
    <t>${zobjComReport.hangVanChuyenBangPttndTruPttndVrSbCungKyNamTruoc.asText()}</t>
  </si>
  <si>
    <t>${zobjComReport.hangVanChuyenBangPttndDangKyVrSbTuCbCbKyLuaChon.asText()}</t>
  </si>
  <si>
    <t>${zobjComReport.hangVanChuyenBangPttndDangKyVrSbTuCbCbCungKyNamTruoc.asText()}</t>
  </si>
  <si>
    <t>${zobjComReport.hangVanChuyenBangPttndDangKyVrSbTuCbCtndVaNguocLaiKyLuaChon.asText()}</t>
  </si>
  <si>
    <t>${zobjComReport.hangVanChuyenBangPttndDangKyVrSbTuCbCtndVaNguocLaiCungKyNamTruoc.asText()}</t>
  </si>
  <si>
    <t>${zobjComReport.hangHoaTauThuyenTrongTaiDuoi200Tan.asText()}</t>
  </si>
  <si>
    <t>${zobjComReport.hangHoaTauThuyenTrongTaiDuoi200TanCungKyNamTruoc.asText()}</t>
  </si>
  <si>
    <t>${zobjComReport.hangQuaCanhKhongXepDoKyLuaChon.asText()}</t>
  </si>
  <si>
    <t>${zobjComReport.hangQuaCanhKhongXepDoCungKyNamTruoc.asText()}</t>
  </si>
  <si>
    <t>${zobjComReport.hangHoaTuyenTuBoRaDaoKyLuaChon.asText()}</t>
  </si>
  <si>
    <t>${zobjComReport.hangHoaTuyenTuBoRaDaoCungKyNamTruoc.asText()}</t>
  </si>
  <si>
    <t>${zobjComReport.hangKhuChuyenTaiBenPhaoKyLuaChon.asText()}</t>
  </si>
  <si>
    <t>${zobjComReport.hangKhuChuyenTaiBenPhaoCungKyNamTruoc.asText()}</t>
  </si>
  <si>
    <t>${zobjComReport.hanhKhachThongQuaBangDoiTauBienVnKyLuaChon.asText()}</t>
  </si>
  <si>
    <t>${zobjComReport.hanhKhachThongQuaBangDoiTauBienVnCungKyNamTruoc.asText()}</t>
  </si>
  <si>
    <t>${zobjComReport.hanhKhachThongQuaBangDoiTauBienNuocNgoaiKyLuaChon.asText()}</t>
  </si>
  <si>
    <t>${zobjComReport.hanhKhachThongQuaBangDoiTauBienNuocNgoaiCungKyNamTruoc.asText()}</t>
  </si>
  <si>
    <t>${zobjComReport.hanhKhachThongQuaBangPttndKyLuaChon.asText()}</t>
  </si>
  <si>
    <t>${zobjComReport.hanhKhachThongQuaBangPttndCungKyNamTruoc.asText()}</t>
  </si>
  <si>
    <t>${zobjComReport.hanhKhachTuyenTuBoRaDaoKyLuaChon.asText()}</t>
  </si>
  <si>
    <t>${zobjComReport.hanhKhachTuyenTuBoRaDaoCungKyNamTruoc.asText()}</t>
  </si>
  <si>
    <t>${zobjComReport.containerNoiDiaTanCungKyNamTruoc.asText()}</t>
  </si>
  <si>
    <t>Biểu số …</t>
  </si>
  <si>
    <t>Khối lượng kỳ lựa chọn</t>
  </si>
  <si>
    <t>So với cùng kỳ
(%)</t>
  </si>
  <si>
    <t>Hàng vận chuyển bằng PTTNĐ đăng ký VR-SB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</si>
</sst>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0" borderId="0" xfId="0" applyFont="1"/>
    <xf numFmtId="0" fontId="5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  <xf numFmtId="0" fontId="3" fillId="0" borderId="12" xfId="0" applyFont="1" applyBorder="1" applyAlignment="1"/>
    <xf numFmtId="0" fontId="7" fillId="0" borderId="0" xfId="0" applyFont="1" applyAlignment="1">
      <alignment vertical="top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8" fillId="0" borderId="0" xfId="0" applyFont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H59"/>
  <sheetViews>
    <sheetView tabSelected="1" zoomScaleNormal="100" workbookViewId="0"/>
  </sheetViews>
  <sheetFormatPr defaultRowHeight="12.75" ns2:dyDescent="0.2"/>
  <cols>
    <col min="1" max="1" width="9.140625" style="3"/>
    <col min="2" max="2" width="8.42578125" style="3" customWidth="1"/>
    <col min="3" max="3" width="21" style="3" customWidth="1"/>
    <col min="4" max="4" width="12" style="3" customWidth="1"/>
    <col min="5" max="7" width="22.7109375" style="3" customWidth="1"/>
    <col min="8" max="16384" width="9.140625" style="3"/>
  </cols>
  <sheetData>
    <row r="1" spans="1:8" ns2:dyDescent="0.2">
      <c r="A1" s="2" t="s">
        <v>106</v>
      </c>
      <c r="F1" s="2" t="s">
        <v>37</v>
      </c>
    </row>
    <row r="2" spans="1:8" ns2:dyDescent="0.2">
      <c r="F2" s="16" t="s">
        <v>39</v>
      </c>
      <c r="G2" s="16"/>
      <c r="H2" s="16"/>
    </row>
    <row r="3" spans="1:8" ns2:dyDescent="0.2">
      <c r="F3" s="2" t="s">
        <v>38</v>
      </c>
    </row>
    <row r="4" spans="1:8" ns2:dyDescent="0.2">
      <c r="F4" s="1" t="s">
        <v>40</v>
      </c>
    </row>
    <row r="5" spans="1:8" ns2:dyDescent="0.2">
      <c r="F5" s="3" t="s">
        <v>41</v>
      </c>
    </row>
    <row r="7" spans="1:8" ht="15.75" ns2:dyDescent="0.25">
      <c r="A7" s="19" t="s">
        <v>0</v>
      </c>
      <c r="B7" s="19"/>
      <c r="C7" s="19"/>
      <c r="D7" s="19"/>
      <c r="E7" s="19"/>
      <c r="F7" s="19"/>
      <c r="G7" s="19"/>
    </row>
    <row r="8" spans="1:8" ns2:dyDescent="0.2">
      <c r="A8" s="32" t="s">
        <v>53</v>
      </c>
      <c r="B8" s="32"/>
      <c r="C8" s="32"/>
      <c r="D8" s="32"/>
      <c r="E8" s="32"/>
      <c r="F8" s="32"/>
      <c r="G8" s="32"/>
    </row>
    <row r="9" spans="1:8" ns2:dyDescent="0.2">
      <c r="A9" s="32" t="s">
        <v>54</v>
      </c>
      <c r="B9" s="32"/>
      <c r="C9" s="32"/>
      <c r="D9" s="32"/>
      <c r="E9" s="32"/>
      <c r="F9" s="32"/>
      <c r="G9" s="32"/>
    </row>
    <row r="11" spans="1:8" ht="21.75" customHeight="1" ns2:dyDescent="0.2">
      <c r="A11" s="30" t="s">
        <v>1</v>
      </c>
      <c r="B11" s="20" t="s">
        <v>2</v>
      </c>
      <c r="C11" s="21"/>
      <c r="D11" s="30" t="s">
        <v>3</v>
      </c>
      <c r="E11" s="29" t="s">
        <v>7</v>
      </c>
      <c r="F11" s="29"/>
      <c r="G11" s="29"/>
    </row>
    <row r="12" spans="1:8" ht="63.75" customHeight="1" ns2:dyDescent="0.2">
      <c r="A12" s="31"/>
      <c r="B12" s="22"/>
      <c r="C12" s="23"/>
      <c r="D12" s="31"/>
      <c r="E12" s="4" t="s">
        <v>107</v>
      </c>
      <c r="F12" s="4" t="s">
        <v>48</v>
      </c>
      <c r="G12" s="4" t="s">
        <v>108</v>
      </c>
    </row>
    <row r="13" spans="1:8" ns2:dyDescent="0.2">
      <c r="A13" s="5" t="s">
        <v>4</v>
      </c>
      <c r="B13" s="24" t="s">
        <v>5</v>
      </c>
      <c r="C13" s="25"/>
      <c r="D13" s="5" t="s">
        <v>6</v>
      </c>
      <c r="E13" s="5">
        <v>1</v>
      </c>
      <c r="F13" s="5">
        <v>2</v>
      </c>
      <c r="G13" s="5" t="s">
        <v>55</v>
      </c>
    </row>
    <row r="14" spans="1:8" ht="15" customHeight="1" ns2:dyDescent="0.2">
      <c r="A14" s="6" t="s">
        <v>8</v>
      </c>
      <c r="B14" s="26" t="s">
        <v>9</v>
      </c>
      <c r="C14" s="27"/>
      <c r="D14" s="27"/>
      <c r="E14" s="27"/>
      <c r="F14" s="27"/>
      <c r="G14" s="28"/>
    </row>
    <row r="15" spans="1:8" ht="15.75" customHeight="1" ns2:dyDescent="0.2">
      <c r="A15" s="5"/>
      <c r="B15" s="17" t="s">
        <v>10</v>
      </c>
      <c r="C15" s="18"/>
      <c r="D15" s="7" t="s">
        <v>17</v>
      </c>
      <c r="E15" s="13">
        <f>SUMPRODUCT(VALUE(E16:E19))</f>
        <v>0</v>
      </c>
      <c r="F15" s="13">
        <f>SUMPRODUCT(VALUE(F16:F19))</f>
        <v>0</v>
      </c>
      <c r="G15" s="13">
        <f>ROUND(IFERROR(VALUE(E15) / VALUE(F15), 0) * 100, 2)</f>
        <v>0</v>
      </c>
    </row>
    <row r="16" spans="1:8" ht="16.5" customHeight="1" ns2:dyDescent="0.2">
      <c r="A16" s="5"/>
      <c r="B16" s="17" t="s">
        <v>12</v>
      </c>
      <c r="C16" s="18"/>
      <c r="D16" s="7" t="s">
        <v>17</v>
      </c>
      <c r="E16" s="13">
        <f>IFERROR(VALUE(E23)+VALUE(E30)+VALUE(E34),0)</f>
        <v>0</v>
      </c>
      <c r="F16" s="13">
        <f>IFERROR(VALUE(F23)+VALUE(F30)+VALUE(F34),0)</f>
        <v>0</v>
      </c>
      <c r="G16" s="13">
        <f t="shared" ref="G16:G37" si="0">ROUND(IFERROR(VALUE(E16) / VALUE(F16), 0) * 100, 2)</f>
        <v>0</v>
      </c>
    </row>
    <row r="17" spans="1:7" ht="15.75" customHeight="1" ns2:dyDescent="0.2">
      <c r="A17" s="5"/>
      <c r="B17" s="17" t="s">
        <v>11</v>
      </c>
      <c r="C17" s="18"/>
      <c r="D17" s="7" t="s">
        <v>17</v>
      </c>
      <c r="E17" s="13">
        <f>IFERROR(VALUE(E25)+VALUE(E31)+VALUE(E35),0)</f>
        <v>0</v>
      </c>
      <c r="F17" s="13">
        <f>IFERROR(VALUE(F25)+VALUE(F31)+VALUE(F35),0)</f>
        <v>0</v>
      </c>
      <c r="G17" s="13">
        <f t="shared" si="0"/>
        <v>0</v>
      </c>
    </row>
    <row r="18" spans="1:7" ht="16.5" customHeight="1" ns2:dyDescent="0.2">
      <c r="A18" s="5"/>
      <c r="B18" s="17" t="s">
        <v>13</v>
      </c>
      <c r="C18" s="18"/>
      <c r="D18" s="7" t="s">
        <v>17</v>
      </c>
      <c r="E18" s="13">
        <f>IFERROR(VALUE(E27)+VALUE(E32)+VALUE(E36),0)</f>
        <v>0</v>
      </c>
      <c r="F18" s="13">
        <f>IFERROR(VALUE(F27)+VALUE(F32)+VALUE(F36),0)</f>
        <v>0</v>
      </c>
      <c r="G18" s="13">
        <f t="shared" si="0"/>
        <v>0</v>
      </c>
    </row>
    <row r="19" spans="1:7" ht="15.75" customHeight="1" ns2:dyDescent="0.2">
      <c r="A19" s="5"/>
      <c r="B19" s="17" t="s">
        <v>14</v>
      </c>
      <c r="C19" s="18"/>
      <c r="D19" s="7" t="s">
        <v>17</v>
      </c>
      <c r="E19" s="13">
        <f>IFERROR(VALUE(E37),0)</f>
        <v>0</v>
      </c>
      <c r="F19" s="13">
        <f>IFERROR(VALUE(F37),0)</f>
        <v>0</v>
      </c>
      <c r="G19" s="13">
        <f t="shared" si="0"/>
        <v>0</v>
      </c>
    </row>
    <row r="20" spans="1:7" ht="13.5" ns2:dyDescent="0.2">
      <c r="A20" s="5"/>
      <c r="B20" s="33" t="s">
        <v>15</v>
      </c>
      <c r="C20" s="34"/>
      <c r="D20" s="7"/>
      <c r="E20" s="13"/>
      <c r="F20" s="13"/>
      <c r="G20" s="13"/>
    </row>
    <row r="21" spans="1:7" ht="16.5" customHeight="1" ns2:dyDescent="0.2">
      <c r="A21" s="6">
        <v>1</v>
      </c>
      <c r="B21" s="26" t="s">
        <v>16</v>
      </c>
      <c r="C21" s="28"/>
      <c r="D21" s="8" t="s">
        <v>17</v>
      </c>
      <c r="E21" s="13" t="e">
        <f>VALUE(E23) + VALUE(E25) + VALUE(E27)</f>
        <v>#VALUE!</v>
      </c>
      <c r="F21" s="13" t="e">
        <f>VALUE(F23) + VALUE(F25) + VALUE(F27)</f>
        <v>#VALUE!</v>
      </c>
      <c r="G21" s="13">
        <f t="shared" si="0"/>
        <v>0</v>
      </c>
    </row>
    <row r="22" spans="1:7" ht="14.25" customHeight="1" ns2:dyDescent="0.2">
      <c r="A22" s="5"/>
      <c r="B22" s="35"/>
      <c r="C22" s="36"/>
      <c r="D22" s="7" t="s">
        <v>18</v>
      </c>
      <c r="E22" s="13" t="e">
        <f>VALUE(E24) + VALUE(E26) + VALUE(E28)</f>
        <v>#VALUE!</v>
      </c>
      <c r="F22" s="13" t="e">
        <f>VALUE(F24) + VALUE(F26) + VALUE(F28)</f>
        <v>#VALUE!</v>
      </c>
      <c r="G22" s="13">
        <f t="shared" si="0"/>
        <v>0</v>
      </c>
    </row>
    <row r="23" spans="1:7" ht="15" customHeight="1" ns2:dyDescent="0.2">
      <c r="A23" s="5"/>
      <c r="B23" s="17" t="s">
        <v>19</v>
      </c>
      <c r="C23" s="18"/>
      <c r="D23" s="7" t="s">
        <v>17</v>
      </c>
      <c r="E23" s="13" t="s">
        <v>56</v>
      </c>
      <c r="F23" s="13" t="s">
        <v>57</v>
      </c>
      <c r="G23" s="13">
        <f t="shared" si="0"/>
        <v>0</v>
      </c>
    </row>
    <row r="24" spans="1:7" ht="13.5" customHeight="1" ns2:dyDescent="0.2">
      <c r="A24" s="5"/>
      <c r="B24" s="35"/>
      <c r="C24" s="36"/>
      <c r="D24" s="7" t="s">
        <v>18</v>
      </c>
      <c r="E24" s="13" t="s">
        <v>58</v>
      </c>
      <c r="F24" s="13" t="s">
        <v>59</v>
      </c>
      <c r="G24" s="13">
        <f t="shared" si="0"/>
        <v>0</v>
      </c>
    </row>
    <row r="25" spans="1:7" ht="15" customHeight="1" ns2:dyDescent="0.2">
      <c r="A25" s="5"/>
      <c r="B25" s="17" t="s">
        <v>20</v>
      </c>
      <c r="C25" s="18"/>
      <c r="D25" s="7" t="s">
        <v>17</v>
      </c>
      <c r="E25" s="13" t="s">
        <v>60</v>
      </c>
      <c r="F25" s="13" t="s">
        <v>61</v>
      </c>
      <c r="G25" s="13">
        <f t="shared" si="0"/>
        <v>0</v>
      </c>
    </row>
    <row r="26" spans="1:7" ht="15.75" customHeight="1" ns2:dyDescent="0.2">
      <c r="A26" s="5"/>
      <c r="B26" s="35"/>
      <c r="C26" s="36"/>
      <c r="D26" s="7" t="s">
        <v>18</v>
      </c>
      <c r="E26" s="13" t="s">
        <v>62</v>
      </c>
      <c r="F26" s="13" t="s">
        <v>63</v>
      </c>
      <c r="G26" s="13">
        <f t="shared" si="0"/>
        <v>0</v>
      </c>
    </row>
    <row r="27" spans="1:7" ht="13.5" customHeight="1" ns2:dyDescent="0.2">
      <c r="A27" s="5"/>
      <c r="B27" s="17" t="s">
        <v>21</v>
      </c>
      <c r="C27" s="18"/>
      <c r="D27" s="7" t="s">
        <v>17</v>
      </c>
      <c r="E27" s="13" t="s">
        <v>64</v>
      </c>
      <c r="F27" s="13" t="s">
        <v>105</v>
      </c>
      <c r="G27" s="13">
        <f t="shared" si="0"/>
        <v>0</v>
      </c>
    </row>
    <row r="28" spans="1:7" ht="15" customHeight="1" ns2:dyDescent="0.2">
      <c r="A28" s="5"/>
      <c r="B28" s="35"/>
      <c r="C28" s="36"/>
      <c r="D28" s="7" t="s">
        <v>18</v>
      </c>
      <c r="E28" s="13" t="s">
        <v>65</v>
      </c>
      <c r="F28" s="13" t="s">
        <v>66</v>
      </c>
      <c r="G28" s="13">
        <f t="shared" si="0"/>
        <v>0</v>
      </c>
    </row>
    <row r="29" spans="1:7" ht="12.75" customHeight="1" ns2:dyDescent="0.2">
      <c r="A29" s="6">
        <v>2</v>
      </c>
      <c r="B29" s="26" t="s">
        <v>22</v>
      </c>
      <c r="C29" s="28"/>
      <c r="D29" s="8" t="s">
        <v>17</v>
      </c>
      <c r="E29" s="13" t="e">
        <f>SUMPRODUCT(VALUE(E30:E32))</f>
        <v>#VALUE!</v>
      </c>
      <c r="F29" s="13" t="e">
        <f>SUMPRODUCT(VALUE(F30:F32))</f>
        <v>#VALUE!</v>
      </c>
      <c r="G29" s="13">
        <f t="shared" si="0"/>
        <v>0</v>
      </c>
    </row>
    <row r="30" spans="1:7" ht="12.75" customHeight="1" ns2:dyDescent="0.2">
      <c r="A30" s="5"/>
      <c r="B30" s="17" t="s">
        <v>19</v>
      </c>
      <c r="C30" s="18"/>
      <c r="D30" s="7" t="s">
        <v>17</v>
      </c>
      <c r="E30" s="13" t="s">
        <v>67</v>
      </c>
      <c r="F30" s="13" t="s">
        <v>68</v>
      </c>
      <c r="G30" s="13">
        <f t="shared" si="0"/>
        <v>0</v>
      </c>
    </row>
    <row r="31" spans="1:7" ht="15.75" customHeight="1" ns2:dyDescent="0.2">
      <c r="A31" s="5"/>
      <c r="B31" s="17" t="s">
        <v>23</v>
      </c>
      <c r="C31" s="18"/>
      <c r="D31" s="7" t="s">
        <v>17</v>
      </c>
      <c r="E31" s="13" t="s">
        <v>69</v>
      </c>
      <c r="F31" s="13" t="s">
        <v>70</v>
      </c>
      <c r="G31" s="13">
        <f t="shared" si="0"/>
        <v>0</v>
      </c>
    </row>
    <row r="32" spans="1:7" ht="12.75" customHeight="1" ns2:dyDescent="0.2">
      <c r="A32" s="5"/>
      <c r="B32" s="17" t="s">
        <v>21</v>
      </c>
      <c r="C32" s="18"/>
      <c r="D32" s="7" t="s">
        <v>17</v>
      </c>
      <c r="E32" s="13" t="s">
        <v>71</v>
      </c>
      <c r="F32" s="13" t="s">
        <v>72</v>
      </c>
      <c r="G32" s="13">
        <f t="shared" si="0"/>
        <v>0</v>
      </c>
    </row>
    <row r="33" spans="1:7" ht="15.75" customHeight="1" ns2:dyDescent="0.2">
      <c r="A33" s="6">
        <v>3</v>
      </c>
      <c r="B33" s="26" t="s">
        <v>24</v>
      </c>
      <c r="C33" s="28"/>
      <c r="D33" s="8" t="s">
        <v>17</v>
      </c>
      <c r="E33" s="13" t="e">
        <f>SUMPRODUCT(VALUE(E34:E36))</f>
        <v>#VALUE!</v>
      </c>
      <c r="F33" s="13" t="e">
        <f>SUMPRODUCT(VALUE(F34:F36))</f>
        <v>#VALUE!</v>
      </c>
      <c r="G33" s="13">
        <f t="shared" si="0"/>
        <v>0</v>
      </c>
    </row>
    <row r="34" spans="1:7" ht="15.75" customHeight="1" ns2:dyDescent="0.2">
      <c r="A34" s="5"/>
      <c r="B34" s="17" t="s">
        <v>19</v>
      </c>
      <c r="C34" s="18"/>
      <c r="D34" s="7" t="s">
        <v>17</v>
      </c>
      <c r="E34" s="13" t="s">
        <v>73</v>
      </c>
      <c r="F34" s="13" t="s">
        <v>74</v>
      </c>
      <c r="G34" s="13">
        <f t="shared" si="0"/>
        <v>0</v>
      </c>
    </row>
    <row r="35" spans="1:7" ht="17.25" customHeight="1" ns2:dyDescent="0.2">
      <c r="A35" s="5"/>
      <c r="B35" s="17" t="s">
        <v>20</v>
      </c>
      <c r="C35" s="18"/>
      <c r="D35" s="7" t="s">
        <v>17</v>
      </c>
      <c r="E35" s="13" t="s">
        <v>75</v>
      </c>
      <c r="F35" s="13" t="s">
        <v>76</v>
      </c>
      <c r="G35" s="13">
        <f t="shared" si="0"/>
        <v>0</v>
      </c>
    </row>
    <row r="36" spans="1:7" ht="17.25" customHeight="1" ns2:dyDescent="0.2">
      <c r="A36" s="5"/>
      <c r="B36" s="17" t="s">
        <v>21</v>
      </c>
      <c r="C36" s="18"/>
      <c r="D36" s="7" t="s">
        <v>17</v>
      </c>
      <c r="E36" s="13" t="s">
        <v>77</v>
      </c>
      <c r="F36" s="13" t="s">
        <v>78</v>
      </c>
      <c r="G36" s="13">
        <f t="shared" si="0"/>
        <v>0</v>
      </c>
    </row>
    <row r="37" spans="1:7" ht="16.5" customHeight="1" ns2:dyDescent="0.2">
      <c r="A37" s="6">
        <v>4</v>
      </c>
      <c r="B37" s="26" t="s">
        <v>14</v>
      </c>
      <c r="C37" s="28"/>
      <c r="D37" s="8" t="s">
        <v>17</v>
      </c>
      <c r="E37" s="13" t="s">
        <v>79</v>
      </c>
      <c r="F37" s="13" t="s">
        <v>80</v>
      </c>
      <c r="G37" s="13">
        <f t="shared" si="0"/>
        <v>0</v>
      </c>
    </row>
    <row r="38" spans="1:7" ht="15" customHeight="1" ns2:dyDescent="0.2">
      <c r="A38" s="6" t="s">
        <v>25</v>
      </c>
      <c r="B38" s="26" t="s">
        <v>52</v>
      </c>
      <c r="C38" s="27"/>
      <c r="D38" s="27"/>
      <c r="E38" s="27"/>
      <c r="F38" s="27"/>
      <c r="G38" s="28"/>
    </row>
    <row r="39" spans="1:7" ht="26.25" customHeight="1" ns2:dyDescent="0.2">
      <c r="A39" s="6">
        <v>1</v>
      </c>
      <c r="B39" s="26" t="s">
        <v>26</v>
      </c>
      <c r="C39" s="28"/>
      <c r="D39" s="4" t="s">
        <v>17</v>
      </c>
      <c r="E39" s="13" t="s">
        <v>82</v>
      </c>
      <c r="F39" s="13" t="s">
        <v>81</v>
      </c>
      <c r="G39" s="13">
        <f>ROUND(IFERROR(VALUE(E39) / VALUE(F39), 0) * 100, 2)</f>
        <v>0</v>
      </c>
    </row>
    <row r="40" spans="1:7" ht="26.25" customHeight="1" ns2:dyDescent="0.2">
      <c r="A40" s="6">
        <v>2</v>
      </c>
      <c r="B40" s="26" t="s">
        <v>27</v>
      </c>
      <c r="C40" s="28"/>
      <c r="D40" s="4" t="s">
        <v>17</v>
      </c>
      <c r="E40" s="13">
        <f>IFERROR(VALUE(E41)+VALUE(E42),0)</f>
        <v>0</v>
      </c>
      <c r="F40" s="13">
        <f>IFERROR(VALUE(F41)+VALUE(F42),0)</f>
        <v>0</v>
      </c>
      <c r="G40" s="13">
        <f>ROUND(IFERROR(VALUE(E40) / VALUE(F40), 0) * 100, 2)</f>
        <v>0</v>
      </c>
    </row>
    <row r="41" spans="1:7" ht="39" customHeight="1" ns2:dyDescent="0.2">
      <c r="A41" s="5">
        <v>2.1</v>
      </c>
      <c r="B41" s="17" t="s">
        <v>28</v>
      </c>
      <c r="C41" s="18"/>
      <c r="D41" s="9" t="s">
        <v>17</v>
      </c>
      <c r="E41" s="13" t="s">
        <v>83</v>
      </c>
      <c r="F41" s="13" t="s">
        <v>84</v>
      </c>
      <c r="G41" s="13">
        <f t="shared" ref="G41:G52" si="1">ROUND(IFERROR(VALUE(E41) / VALUE(F41), 0) * 100, 2)</f>
        <v>0</v>
      </c>
    </row>
    <row r="42" spans="1:7" ht="41.25" customHeight="1" ns2:dyDescent="0.2">
      <c r="A42" s="41">
        <v>2.2000000000000002</v>
      </c>
      <c r="B42" s="17" t="s">
        <v>109</v>
      </c>
      <c r="C42" s="18"/>
      <c r="D42" s="9" t="s">
        <v>17</v>
      </c>
      <c r="E42" s="13">
        <f>IFERROR(VALUE(E43)+VALUE(E44),0)</f>
        <v>0</v>
      </c>
      <c r="F42" s="13">
        <f>IFERROR(VALUE(F43)+VALUE(F44),0)</f>
        <v>0</v>
      </c>
      <c r="G42" s="13">
        <f t="shared" si="1"/>
        <v>0</v>
      </c>
    </row>
    <row r="43" spans="1:7" ht="38.25" customHeight="1" ns2:dyDescent="0.2">
      <c r="A43" s="42"/>
      <c r="B43" s="44" t="s">
        <v>15</v>
      </c>
      <c r="C43" s="14" t="s">
        <v>30</v>
      </c>
      <c r="D43" s="5" t="s">
        <v>17</v>
      </c>
      <c r="E43" s="13" t="s">
        <v>85</v>
      </c>
      <c r="F43" s="13" t="s">
        <v>86</v>
      </c>
      <c r="G43" s="13">
        <f t="shared" si="1"/>
        <v>0</v>
      </c>
    </row>
    <row r="44" spans="1:7" ht="51" customHeight="1" ns2:dyDescent="0.2">
      <c r="A44" s="43"/>
      <c r="B44" s="45"/>
      <c r="C44" s="10" t="s">
        <v>31</v>
      </c>
      <c r="D44" s="5" t="s">
        <v>17</v>
      </c>
      <c r="E44" s="13" t="s">
        <v>87</v>
      </c>
      <c r="F44" s="13" t="s">
        <v>88</v>
      </c>
      <c r="G44" s="13">
        <f t="shared" si="1"/>
        <v>0</v>
      </c>
    </row>
    <row r="45" spans="1:7" ht="42.75" customHeight="1" ns2:dyDescent="0.2">
      <c r="A45" s="6">
        <v>3</v>
      </c>
      <c r="B45" s="37" t="s">
        <v>45</v>
      </c>
      <c r="C45" s="38"/>
      <c r="D45" s="9" t="s">
        <v>17</v>
      </c>
      <c r="E45" s="13" t="s">
        <v>89</v>
      </c>
      <c r="F45" s="13" t="s">
        <v>90</v>
      </c>
      <c r="G45" s="13">
        <f t="shared" si="1"/>
        <v>0</v>
      </c>
    </row>
    <row r="46" spans="1:7" ht="42.75" customHeight="1" ns2:dyDescent="0.2">
      <c r="A46" s="6">
        <v>4</v>
      </c>
      <c r="B46" s="37" t="s">
        <v>32</v>
      </c>
      <c r="C46" s="38"/>
      <c r="D46" s="9" t="s">
        <v>17</v>
      </c>
      <c r="E46" s="13" t="s">
        <v>91</v>
      </c>
      <c r="F46" s="13" t="s">
        <v>92</v>
      </c>
      <c r="G46" s="13">
        <f t="shared" si="1"/>
        <v>0</v>
      </c>
    </row>
    <row r="47" spans="1:7" ht="42.75" customHeight="1" ns2:dyDescent="0.2">
      <c r="A47" s="6">
        <v>5</v>
      </c>
      <c r="B47" s="37" t="s">
        <v>43</v>
      </c>
      <c r="C47" s="38"/>
      <c r="D47" s="9" t="s">
        <v>17</v>
      </c>
      <c r="E47" s="13" t="s">
        <v>93</v>
      </c>
      <c r="F47" s="13" t="s">
        <v>94</v>
      </c>
      <c r="G47" s="13">
        <f t="shared" si="1"/>
        <v>0</v>
      </c>
    </row>
    <row r="48" spans="1:7" ht="42.75" customHeight="1" ns2:dyDescent="0.2">
      <c r="A48" s="6">
        <v>6</v>
      </c>
      <c r="B48" s="37" t="s">
        <v>44</v>
      </c>
      <c r="C48" s="38"/>
      <c r="D48" s="9" t="s">
        <v>17</v>
      </c>
      <c r="E48" s="13" t="s">
        <v>95</v>
      </c>
      <c r="F48" s="13" t="s">
        <v>96</v>
      </c>
      <c r="G48" s="13">
        <f t="shared" si="1"/>
        <v>0</v>
      </c>
    </row>
    <row r="49" spans="1:7" ht="27" customHeight="1" ns2:dyDescent="0.2">
      <c r="A49" s="6" t="s">
        <v>29</v>
      </c>
      <c r="B49" s="37" t="s">
        <v>47</v>
      </c>
      <c r="C49" s="38"/>
      <c r="D49" s="4" t="s">
        <v>33</v>
      </c>
      <c r="E49" s="13" t="e">
        <f>SUMPRODUCT(VALUE(E50:E52))</f>
        <v>#VALUE!</v>
      </c>
      <c r="F49" s="13" t="e">
        <f>SUMPRODUCT(VALUE(F50:F52))</f>
        <v>#VALUE!</v>
      </c>
      <c r="G49" s="13">
        <f t="shared" si="1"/>
        <v>0</v>
      </c>
    </row>
    <row r="50" spans="1:7" ht="27" customHeight="1" ns2:dyDescent="0.2">
      <c r="A50" s="5">
        <v>3.1</v>
      </c>
      <c r="B50" s="17" t="s">
        <v>36</v>
      </c>
      <c r="C50" s="18"/>
      <c r="D50" s="9" t="s">
        <v>33</v>
      </c>
      <c r="E50" s="13" t="s">
        <v>97</v>
      </c>
      <c r="F50" s="13" t="s">
        <v>98</v>
      </c>
      <c r="G50" s="13">
        <f t="shared" si="1"/>
        <v>0</v>
      </c>
    </row>
    <row r="51" spans="1:7" ht="40.5" customHeight="1" ns2:dyDescent="0.2">
      <c r="A51" s="5">
        <v>3.2</v>
      </c>
      <c r="B51" s="17" t="s">
        <v>34</v>
      </c>
      <c r="C51" s="18"/>
      <c r="D51" s="9" t="s">
        <v>33</v>
      </c>
      <c r="E51" s="13" t="s">
        <v>99</v>
      </c>
      <c r="F51" s="13" t="s">
        <v>100</v>
      </c>
      <c r="G51" s="13">
        <f>ROUND(IFERROR(VALUE(E51) / VALUE(F51), 0) * 100, 2)</f>
        <v>0</v>
      </c>
    </row>
    <row r="52" spans="1:7" ht="39.75" customHeight="1" ns2:dyDescent="0.2">
      <c r="A52" s="5">
        <v>3.3</v>
      </c>
      <c r="B52" s="17" t="s">
        <v>35</v>
      </c>
      <c r="C52" s="18"/>
      <c r="D52" s="9" t="s">
        <v>33</v>
      </c>
      <c r="E52" s="13" t="s">
        <v>101</v>
      </c>
      <c r="F52" s="13" t="s">
        <v>102</v>
      </c>
      <c r="G52" s="13">
        <f t="shared" si="1"/>
        <v>0</v>
      </c>
    </row>
    <row r="53" spans="1:7" ht="26.25" customHeight="1" ns2:dyDescent="0.2">
      <c r="A53" s="6" t="s">
        <v>46</v>
      </c>
      <c r="B53" s="26" t="s">
        <v>42</v>
      </c>
      <c r="C53" s="28"/>
      <c r="D53" s="15" t="s">
        <v>33</v>
      </c>
      <c r="E53" s="13" t="s">
        <v>103</v>
      </c>
      <c r="F53" s="13" t="s">
        <v>104</v>
      </c>
      <c r="G53" s="13">
        <f>ROUND(IFERROR(VALUE(E53) / VALUE(F53), 0) * 100, 2)</f>
        <v>0</v>
      </c>
    </row>
    <row r="54" spans="1:7" ns2:dyDescent="0.2">
      <c r="B54" s="11"/>
      <c r="C54" s="11"/>
      <c r="F54" s="11"/>
      <c r="G54" s="11"/>
    </row>
    <row r="55" spans="1:7" ns2:dyDescent="0.2">
      <c r="B55" s="12"/>
      <c r="C55" s="40" t="s">
        <v>51</v>
      </c>
      <c r="D55" s="40"/>
      <c r="F55" s="40" t="s">
        <v>49</v>
      </c>
      <c r="G55" s="40"/>
    </row>
    <row r="56" spans="1:7" ht="25.5" customHeight="1" ns2:dyDescent="0.2">
      <c r="C56" s="40"/>
      <c r="D56" s="40"/>
      <c r="F56" s="39" t="s">
        <v>50</v>
      </c>
      <c r="G56" s="39"/>
    </row>
    <row r="57" spans="1:7" ns2:dyDescent="0.2">
      <c r="C57" s="40"/>
      <c r="D57" s="40"/>
      <c r="F57" s="39"/>
      <c r="G57" s="39"/>
    </row>
    <row r="58" spans="1:7" ns2:dyDescent="0.2">
      <c r="C58" s="40"/>
      <c r="D58" s="40"/>
      <c r="F58" s="39"/>
      <c r="G58" s="39"/>
    </row>
    <row r="59" spans="1:7" ns2:dyDescent="0.2">
      <c r="C59" s="40"/>
      <c r="D59" s="40"/>
      <c r="F59" s="39"/>
      <c r="G59" s="39"/>
    </row>
  </sheetData>
  <mergeCells count="52">
    <mergeCell ref="A8:G8"/>
    <mergeCell ref="F56:G59"/>
    <mergeCell ref="F55:G55"/>
    <mergeCell ref="B36:C36"/>
    <mergeCell ref="B51:C51"/>
    <mergeCell ref="B38:G38"/>
    <mergeCell ref="B39:C39"/>
    <mergeCell ref="B52:C52"/>
    <mergeCell ref="B40:C40"/>
    <mergeCell ref="B41:C41"/>
    <mergeCell ref="B48:C48"/>
    <mergeCell ref="B53:C53"/>
    <mergeCell ref="C55:D59"/>
    <mergeCell ref="A42:A44"/>
    <mergeCell ref="B43:B44"/>
    <mergeCell ref="B50:C50"/>
    <mergeCell ref="B45:C45"/>
    <mergeCell ref="B46:C46"/>
    <mergeCell ref="B47:C47"/>
    <mergeCell ref="B49:C49"/>
    <mergeCell ref="B42:C42"/>
    <mergeCell ref="B21:C21"/>
    <mergeCell ref="B22:C22"/>
    <mergeCell ref="B37:C37"/>
    <mergeCell ref="B24:C24"/>
    <mergeCell ref="B25:C25"/>
    <mergeCell ref="B27:C27"/>
    <mergeCell ref="B29:C29"/>
    <mergeCell ref="B30:C30"/>
    <mergeCell ref="B31:C31"/>
    <mergeCell ref="B26:C26"/>
    <mergeCell ref="B28:C28"/>
    <mergeCell ref="B32:C32"/>
    <mergeCell ref="B33:C33"/>
    <mergeCell ref="B34:C34"/>
    <mergeCell ref="B35:C35"/>
    <mergeCell ref="F2:H2"/>
    <mergeCell ref="B23:C23"/>
    <mergeCell ref="A7:G7"/>
    <mergeCell ref="B11:C12"/>
    <mergeCell ref="B13:C13"/>
    <mergeCell ref="B14:G14"/>
    <mergeCell ref="B15:C15"/>
    <mergeCell ref="B16:C16"/>
    <mergeCell ref="B17:C17"/>
    <mergeCell ref="E11:G11"/>
    <mergeCell ref="A11:A12"/>
    <mergeCell ref="D11:D12"/>
    <mergeCell ref="A9:G9"/>
    <mergeCell ref="B18:C18"/>
    <mergeCell ref="B19:C19"/>
    <mergeCell ref="B20:C20"/>
  </mergeCells>
  <pageMargins left="0.7" right="0.7" top="0.75" bottom="0.75" header="0.3" footer="0.3"/>
  <pageSetup paperSize="9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2025-12-31T01:21:43Z</dcterms:modified>
</cp:coreProperties>
</file>